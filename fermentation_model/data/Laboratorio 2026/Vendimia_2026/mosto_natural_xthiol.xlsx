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_dFBA/pyomo-doe/fermentation_model/data/Laboratorio 2026/Vendimia_2026/"/>
    </mc:Choice>
  </mc:AlternateContent>
  <xr:revisionPtr revIDLastSave="303" documentId="11_280EB71F80749CA0913586572176186CDF0961C4" xr6:coauthVersionLast="47" xr6:coauthVersionMax="47" xr10:uidLastSave="{F83337A5-D614-4A90-BF9F-1EB0F008720B}"/>
  <bookViews>
    <workbookView xWindow="-120" yWindow="-120" windowWidth="29040" windowHeight="15720" activeTab="5" xr2:uid="{00000000-000D-0000-FFFF-FFFF00000000}"/>
  </bookViews>
  <sheets>
    <sheet name="00_Resumen" sheetId="1" r:id="rId1"/>
    <sheet name="Datos_homologados" sheetId="2" r:id="rId2"/>
    <sheet name="LAB004" sheetId="3" r:id="rId3"/>
    <sheet name="LAB005" sheetId="4" r:id="rId4"/>
    <sheet name="LAB006" sheetId="5" r:id="rId5"/>
    <sheet name="LAB007" sheetId="6" r:id="rId6"/>
    <sheet name="LAB008" sheetId="7" r:id="rId7"/>
    <sheet name="LAB009" sheetId="8" r:id="rId8"/>
    <sheet name="LAB010" sheetId="9" r:id="rId9"/>
    <sheet name="LAB011" sheetId="10" r:id="rId10"/>
    <sheet name="LAB012" sheetId="11" r:id="rId11"/>
    <sheet name="Perfiles_temperatura" sheetId="12" r:id="rId12"/>
    <sheet name="Eventos_operacion" sheetId="13" r:id="rId13"/>
    <sheet name="Maestro_ensayos" sheetId="14" r:id="rId14"/>
    <sheet name="Muestreo_MEF" sheetId="15" r:id="rId15"/>
    <sheet name="Resultados_extendidos" sheetId="16" r:id="rId16"/>
    <sheet name="Aromas_MEF_prep" sheetId="17" r:id="rId17"/>
    <sheet name="Aromas_Cond" sheetId="18" r:id="rId18"/>
    <sheet name="Diccionario_mapeo" sheetId="19" r:id="rId19"/>
    <sheet name="Resultados_primario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  <c r="C3" i="10"/>
  <c r="C5" i="10" s="1"/>
  <c r="C6" i="10" s="1"/>
  <c r="C4" i="10" s="1"/>
  <c r="C8" i="10" s="1"/>
  <c r="C9" i="10" s="1"/>
  <c r="C10" i="10" s="1"/>
  <c r="B8" i="9"/>
  <c r="B6" i="8"/>
  <c r="B8" i="7"/>
  <c r="B8" i="6"/>
  <c r="B10" i="5"/>
  <c r="B8" i="4"/>
  <c r="B8" i="3"/>
</calcChain>
</file>

<file path=xl/sharedStrings.xml><?xml version="1.0" encoding="utf-8"?>
<sst xmlns="http://schemas.openxmlformats.org/spreadsheetml/2006/main" count="7763" uniqueCount="586">
  <si>
    <t>Campo</t>
  </si>
  <si>
    <t>Valor</t>
  </si>
  <si>
    <t>Archivo generado</t>
  </si>
  <si>
    <t>Datos_lab_homologados_VL3.xlsx</t>
  </si>
  <si>
    <t>Planilla maestra</t>
  </si>
  <si>
    <t>Planilla_Maestra_I+D_2026_base (5).xlsx</t>
  </si>
  <si>
    <t>Referencia</t>
  </si>
  <si>
    <t>Calibration_data_vl3(4).xlsx</t>
  </si>
  <si>
    <t>Ensayos procesados</t>
  </si>
  <si>
    <t>ING26-LAB004, ING26-LAB005, ING26-LAB006, ING26-LAB007, ING26-LAB008, ING26-LAB009, ING26-LAB010, ING26-LAB011, ING26-LAB012</t>
  </si>
  <si>
    <t>Total filas homologadas</t>
  </si>
  <si>
    <t>Criterio de homologación</t>
  </si>
  <si>
    <t>Estructura de referencia VL3 + columnas adicionales disponibles en Planilla Maestra</t>
  </si>
  <si>
    <t>Corrección de fechas LAB004-LAB006</t>
  </si>
  <si>
    <t>Se corrigieron fechas serializadas como mm/dd a dd/mm para mantener la cinética abril 2026 y t coherente con siembra</t>
  </si>
  <si>
    <t>LAB007-LAB009</t>
  </si>
  <si>
    <t>Sin registro en Maestro_ensayos ni Muestreo_MEF; siembra de Eventos está desalineada, por lo que t=0 se fija en primer muestreo y temperatura usa perfil relativo protocolo/eventos</t>
  </si>
  <si>
    <t>YAN</t>
  </si>
  <si>
    <t>Calculado como PAN + 0,82 × Amonio</t>
  </si>
  <si>
    <t>Código ensayo</t>
  </si>
  <si>
    <t>n_resultados_primarios</t>
  </si>
  <si>
    <t>n_resultados_extendidos</t>
  </si>
  <si>
    <t>n_eventos</t>
  </si>
  <si>
    <t>base_t</t>
  </si>
  <si>
    <t>primer_t_h</t>
  </si>
  <si>
    <t>ultimo_t_h</t>
  </si>
  <si>
    <t>protocolo</t>
  </si>
  <si>
    <t>notas</t>
  </si>
  <si>
    <t>ING26-LAB004</t>
  </si>
  <si>
    <t>Siembra eventos_operacion</t>
  </si>
  <si>
    <t>A</t>
  </si>
  <si>
    <t>ING26-LAB005</t>
  </si>
  <si>
    <t>ING26-LAB006</t>
  </si>
  <si>
    <t>C</t>
  </si>
  <si>
    <t>ING26-LAB007</t>
  </si>
  <si>
    <t>Primer muestreo; siembra en eventos desalineada (2026-03-25 16:00)</t>
  </si>
  <si>
    <t>B</t>
  </si>
  <si>
    <t>No tiene registro en Maestro_ensayos; temperatura usa perfil protocolo/eventos</t>
  </si>
  <si>
    <t>ING26-LAB008</t>
  </si>
  <si>
    <t>ING26-LAB009</t>
  </si>
  <si>
    <t>ING26-LAB010</t>
  </si>
  <si>
    <t>ING26-LAB011</t>
  </si>
  <si>
    <t>ING26-LAB012</t>
  </si>
  <si>
    <t>ID</t>
  </si>
  <si>
    <t>fecha_hora</t>
  </si>
  <si>
    <t>t</t>
  </si>
  <si>
    <t>temperatura</t>
  </si>
  <si>
    <t>densidad</t>
  </si>
  <si>
    <t>Viability</t>
  </si>
  <si>
    <t>Peso Seco</t>
  </si>
  <si>
    <t>GLUCOSE</t>
  </si>
  <si>
    <t>FRUCTOSE</t>
  </si>
  <si>
    <t>PAN</t>
  </si>
  <si>
    <t>AMMONIA</t>
  </si>
  <si>
    <t>GLYCEROL</t>
  </si>
  <si>
    <t>PYRUVIC ACID</t>
  </si>
  <si>
    <t>PYRUVIC ACID2</t>
  </si>
  <si>
    <t>ACETALDEHIDO</t>
  </si>
  <si>
    <t>ETANOL</t>
  </si>
  <si>
    <t>pulso_nut</t>
  </si>
  <si>
    <t>bencil_alcohol_total</t>
  </si>
  <si>
    <t>benzaldehido_total</t>
  </si>
  <si>
    <t>decanoato_de_etilo_total</t>
  </si>
  <si>
    <t>hexil_acetate_total</t>
  </si>
  <si>
    <t>isoamil_acetate_total</t>
  </si>
  <si>
    <t>octanoate_de_etilo_total</t>
  </si>
  <si>
    <t>phenylethylacetate_total</t>
  </si>
  <si>
    <t>Ethyl_Acetate_total</t>
  </si>
  <si>
    <t>fecha_hora_original</t>
  </si>
  <si>
    <t>fecha_hora_nota</t>
  </si>
  <si>
    <t>base_t_origen</t>
  </si>
  <si>
    <t>temperatura_fuente</t>
  </si>
  <si>
    <t>temperatura_evento_activo</t>
  </si>
  <si>
    <t>protocolo_inferido</t>
  </si>
  <si>
    <t>pulso_nut_evento</t>
  </si>
  <si>
    <t>pulso_nut_t_h</t>
  </si>
  <si>
    <t>pulso_nut_tipo</t>
  </si>
  <si>
    <t>Brix</t>
  </si>
  <si>
    <t>pH</t>
  </si>
  <si>
    <t>DO</t>
  </si>
  <si>
    <t>Oculyze Concentration</t>
  </si>
  <si>
    <t>Oculyze Budding</t>
  </si>
  <si>
    <t>Y15 Glucosa-Fructosa</t>
  </si>
  <si>
    <t>Y15 Acetico</t>
  </si>
  <si>
    <t>Cf Alcolyzer (% v/v)</t>
  </si>
  <si>
    <t>Cf Alcolyzer Real (% v/v)</t>
  </si>
  <si>
    <t>Tipo muestra</t>
  </si>
  <si>
    <t>Hito</t>
  </si>
  <si>
    <t>Matriz</t>
  </si>
  <si>
    <t>Volumen total (mL)</t>
  </si>
  <si>
    <t>Contenedores</t>
  </si>
  <si>
    <t>Análisis planificados</t>
  </si>
  <si>
    <t>Estado muestreo</t>
  </si>
  <si>
    <t>Peso recipiente (g)</t>
  </si>
  <si>
    <t>Extracto seco (g)</t>
  </si>
  <si>
    <t>GC-MS/MS MEF</t>
  </si>
  <si>
    <t>GC-MS/MS Cond</t>
  </si>
  <si>
    <t>Freezer</t>
  </si>
  <si>
    <t>Caja</t>
  </si>
  <si>
    <t>Posición</t>
  </si>
  <si>
    <t>Aroma Vol GC (mL)</t>
  </si>
  <si>
    <t>Aroma Dilución 1:X</t>
  </si>
  <si>
    <t>Aroma GA muestra (% v/v)</t>
  </si>
  <si>
    <t>Aroma EtOH objetivo (%)</t>
  </si>
  <si>
    <t>Aroma Alcohol HPLC 100% (uL)</t>
  </si>
  <si>
    <t>Aroma Vol muestra (µL)</t>
  </si>
  <si>
    <t>Temporada</t>
  </si>
  <si>
    <t>Proyecto</t>
  </si>
  <si>
    <t>Escala</t>
  </si>
  <si>
    <t>Lote</t>
  </si>
  <si>
    <t>Reactor/Estanque</t>
  </si>
  <si>
    <t>Condición</t>
  </si>
  <si>
    <t>Réplica</t>
  </si>
  <si>
    <t>Variedad</t>
  </si>
  <si>
    <t>Levadura</t>
  </si>
  <si>
    <t>Volumen inicial (L)</t>
  </si>
  <si>
    <t>Objetivo específico</t>
  </si>
  <si>
    <t>Observaciones ensayo</t>
  </si>
  <si>
    <t>ING26-LAB004-01</t>
  </si>
  <si>
    <t>Springferm Xtrem + FDA: 1.00 + 0.40 g</t>
  </si>
  <si>
    <t>normalizada_dia_mes_desde_2026-06-04 13:00</t>
  </si>
  <si>
    <t>Protocolo operacional: setpoint inicial inferido</t>
  </si>
  <si>
    <t>Protocolo A Fase 1</t>
  </si>
  <si>
    <t>EV-ING26-LAB004-02</t>
  </si>
  <si>
    <t>Pulso nutricional 1</t>
  </si>
  <si>
    <t>Extendida</t>
  </si>
  <si>
    <t>Pre-inóculo</t>
  </si>
  <si>
    <t>MEF</t>
  </si>
  <si>
    <t>1 Falcon 50 mL + 1 Eppendorf 2 mL</t>
  </si>
  <si>
    <t>DM35 + Oculyze + Y15 + Alcolyzer + biomasa + GC-MS/MS MEF (si aplica) + respaldo</t>
  </si>
  <si>
    <t>No realizado</t>
  </si>
  <si>
    <t>Pendiente</t>
  </si>
  <si>
    <t>Según condensados</t>
  </si>
  <si>
    <t>Freezer -20°C</t>
  </si>
  <si>
    <t>Transferibilidad piloto-lab</t>
  </si>
  <si>
    <t>Laboratorio</t>
  </si>
  <si>
    <t>Lote 2</t>
  </si>
  <si>
    <t>R-2L-01</t>
  </si>
  <si>
    <t>Condición A</t>
  </si>
  <si>
    <t>R3</t>
  </si>
  <si>
    <t>Sauvignon blanc</t>
  </si>
  <si>
    <t>Zymaflore X5</t>
  </si>
  <si>
    <t>Homólogo de TK-04</t>
  </si>
  <si>
    <t>Protocolo A: 18→21→16 °C; pulso N2 48–60 h proxy</t>
  </si>
  <si>
    <t>ING26-LAB004-02</t>
  </si>
  <si>
    <t>normalizada_dia_mes_desde_2026-07-04 08:00</t>
  </si>
  <si>
    <t>Corta</t>
  </si>
  <si>
    <t>Seguimiento 12 h</t>
  </si>
  <si>
    <t>1 Falcon 15 mL + 1 Eppendorf 2 mL</t>
  </si>
  <si>
    <t>DM35 + Oculyze + Y15 + respaldo</t>
  </si>
  <si>
    <t>ING26-LAB004-03</t>
  </si>
  <si>
    <t>normalizada_dia_mes_desde_2026-07-04 15:00</t>
  </si>
  <si>
    <t>Seguimiento 24 h</t>
  </si>
  <si>
    <t>ING26-LAB004-04</t>
  </si>
  <si>
    <t>normalizada_dia_mes_desde_2026-08-04 08:00</t>
  </si>
  <si>
    <t>Seguimiento 36 h</t>
  </si>
  <si>
    <t>ING26-LAB004-05</t>
  </si>
  <si>
    <t>normalizada_dia_mes_desde_2026-08-04 15:00</t>
  </si>
  <si>
    <t>Seguimiento 48 h</t>
  </si>
  <si>
    <t>DM35 + Oculyze + Y15 + Alcolyzer + respaldo</t>
  </si>
  <si>
    <t>ING26-LAB004-06</t>
  </si>
  <si>
    <t>normalizada_dia_mes_desde_2026-09-04 08:00</t>
  </si>
  <si>
    <t>EV-ING26-LAB004-03</t>
  </si>
  <si>
    <t>Pulso nutricional 2</t>
  </si>
  <si>
    <t>Seguimiento 60 h</t>
  </si>
  <si>
    <t>ING26-LAB004-07</t>
  </si>
  <si>
    <t>normalizada_dia_mes_desde_2026-09-04 15:00</t>
  </si>
  <si>
    <t>Seguimiento 72 h</t>
  </si>
  <si>
    <t>ING26-LAB004-08</t>
  </si>
  <si>
    <t>normalizada_dia_mes_desde_2026-10-04 08:00</t>
  </si>
  <si>
    <t>Pre cambio temperatura 1</t>
  </si>
  <si>
    <t>ING26-LAB004-09</t>
  </si>
  <si>
    <t>normalizada_dia_mes_desde_2026-10-04 15:00</t>
  </si>
  <si>
    <t>Seguimiento diario 96 h</t>
  </si>
  <si>
    <t>ING26-LAB004-10</t>
  </si>
  <si>
    <t>normalizada_dia_mes_desde_2026-11-04 08:00</t>
  </si>
  <si>
    <t>Eventos_operacion</t>
  </si>
  <si>
    <t>EV-ING26-LAB004-04</t>
  </si>
  <si>
    <t>Post cambio temperatura 1</t>
  </si>
  <si>
    <t>ING26-LAB004-11</t>
  </si>
  <si>
    <t>normalizada_dia_mes_desde_2026-11-04 15:00</t>
  </si>
  <si>
    <t>Seguimiento diario 120 h</t>
  </si>
  <si>
    <t>ING26-LAB004-12</t>
  </si>
  <si>
    <t>normalizada_dia_mes_desde_2026-12-04 15:00</t>
  </si>
  <si>
    <t>Seguimiento diario 144 h</t>
  </si>
  <si>
    <t>ING26-LAB004-13</t>
  </si>
  <si>
    <t>13-04-2026 08:00</t>
  </si>
  <si>
    <t>texto_parseado</t>
  </si>
  <si>
    <t>Pre cambio temperatura 2</t>
  </si>
  <si>
    <t>ING26-LAB005-01</t>
  </si>
  <si>
    <t>EV-ING26-LAB005-02</t>
  </si>
  <si>
    <t>R-2L-02</t>
  </si>
  <si>
    <t>R4</t>
  </si>
  <si>
    <t>Homólogo de TK-05</t>
  </si>
  <si>
    <t>ING26-LAB005-02</t>
  </si>
  <si>
    <t>ING26-LAB005-03</t>
  </si>
  <si>
    <t>ING26-LAB005-04</t>
  </si>
  <si>
    <t>ING26-LAB005-05</t>
  </si>
  <si>
    <t>ING26-LAB005-06</t>
  </si>
  <si>
    <t>EV-ING26-LAB005-03</t>
  </si>
  <si>
    <t>ING26-LAB005-07</t>
  </si>
  <si>
    <t>ING26-LAB005-08</t>
  </si>
  <si>
    <t>ING26-LAB005-09</t>
  </si>
  <si>
    <t>ING26-LAB005-10</t>
  </si>
  <si>
    <t>EV-ING26-LAB005-04</t>
  </si>
  <si>
    <t>ING26-LAB005-11</t>
  </si>
  <si>
    <t>ING26-LAB005-12</t>
  </si>
  <si>
    <t>ING26-LAB005-13</t>
  </si>
  <si>
    <t>ING26-LAB006-01</t>
  </si>
  <si>
    <t>Protocolo C Fase 1</t>
  </si>
  <si>
    <t>EV-ING26-LAB006-02</t>
  </si>
  <si>
    <t>R-2L-03</t>
  </si>
  <si>
    <t>Condición C</t>
  </si>
  <si>
    <t>R1</t>
  </si>
  <si>
    <t>Homólogo de TK-06</t>
  </si>
  <si>
    <t>Protocolo C: 16→18→21 °C; pulso N2 60–72 h proxy</t>
  </si>
  <si>
    <t>ING26-LAB006-02</t>
  </si>
  <si>
    <t>ING26-LAB006-03</t>
  </si>
  <si>
    <t>ING26-LAB006-04</t>
  </si>
  <si>
    <t>ING26-LAB006-05</t>
  </si>
  <si>
    <t>ING26-LAB006-06</t>
  </si>
  <si>
    <t>ING26-LAB006-07</t>
  </si>
  <si>
    <t>ING26-LAB006-08</t>
  </si>
  <si>
    <t>EV-ING26-LAB006-03</t>
  </si>
  <si>
    <t>ING26-LAB006-09</t>
  </si>
  <si>
    <t>ING26-LAB006-10</t>
  </si>
  <si>
    <t>ING26-LAB006-11</t>
  </si>
  <si>
    <t>normalizada_dia_mes_desde_2026-12-04 08:00</t>
  </si>
  <si>
    <t>EV-ING26-LAB006-04</t>
  </si>
  <si>
    <t>ING26-LAB006-12</t>
  </si>
  <si>
    <t>ING26-LAB006-13</t>
  </si>
  <si>
    <t>13-04-2026 15:00</t>
  </si>
  <si>
    <t>Seguimiento diario 168 h</t>
  </si>
  <si>
    <t>ING26-LAB006-14</t>
  </si>
  <si>
    <t>14-04-2026 15:00</t>
  </si>
  <si>
    <t>Seguimiento diario 192 h</t>
  </si>
  <si>
    <t>ING26-LAB006-15</t>
  </si>
  <si>
    <t>15-04-2026 08:00</t>
  </si>
  <si>
    <t>ING26-LAB007-L-01</t>
  </si>
  <si>
    <t>serial_excel</t>
  </si>
  <si>
    <t>Protocolo operacional inferido</t>
  </si>
  <si>
    <t>Protocolo B Fase 1</t>
  </si>
  <si>
    <t>EV-ING26-LAB007-06</t>
  </si>
  <si>
    <t>No aplica</t>
  </si>
  <si>
    <t>Freezer -80°C</t>
  </si>
  <si>
    <t>Laboratorio (inferido)</t>
  </si>
  <si>
    <t>ING26-LAB007-L-02</t>
  </si>
  <si>
    <t>ING26-LAB007-L-03</t>
  </si>
  <si>
    <t>ING26-LAB007-L-04</t>
  </si>
  <si>
    <t>ING26-LAB007-L-05</t>
  </si>
  <si>
    <t>No planificado</t>
  </si>
  <si>
    <t>ING26-LAB007-L-06</t>
  </si>
  <si>
    <t>ING26-LAB007-L-07</t>
  </si>
  <si>
    <t>EV-ING26-LAB007-11</t>
  </si>
  <si>
    <t>ING26-LAB007-L-08</t>
  </si>
  <si>
    <t>ING26-LAB007-L-09</t>
  </si>
  <si>
    <t>ING26-LAB007-L-10</t>
  </si>
  <si>
    <t>ING26-LAB007-L-11</t>
  </si>
  <si>
    <t>ING26-LAB007-L-12</t>
  </si>
  <si>
    <t>ING26-LAB007-L-13</t>
  </si>
  <si>
    <t>ING26-LAB008-L-01</t>
  </si>
  <si>
    <t>EV-ING26-LAB008-06</t>
  </si>
  <si>
    <t>ING26-LAB008-L-02</t>
  </si>
  <si>
    <t>ING26-LAB008-L-03</t>
  </si>
  <si>
    <t>ING26-LAB008-L-04</t>
  </si>
  <si>
    <t>ING26-LAB008-L-05</t>
  </si>
  <si>
    <t>ING26-LAB008-L-06</t>
  </si>
  <si>
    <t>ING26-LAB008-L-07</t>
  </si>
  <si>
    <t>ING26-LAB008-L-08</t>
  </si>
  <si>
    <t>ING26-LAB008-L-09</t>
  </si>
  <si>
    <t>EV-ING26-LAB008-11</t>
  </si>
  <si>
    <t>ING26-LAB008-L-10</t>
  </si>
  <si>
    <t>ING26-LAB008-L-11</t>
  </si>
  <si>
    <t>ING26-LAB008-L-12</t>
  </si>
  <si>
    <t>ING26-LAB008-L-13</t>
  </si>
  <si>
    <t>ING26-LAB009-L-01</t>
  </si>
  <si>
    <t>EV-ING26-LAB009-05</t>
  </si>
  <si>
    <t>ING26-LAB009-L-02</t>
  </si>
  <si>
    <t>ING26-LAB009-L-03</t>
  </si>
  <si>
    <t>ING26-LAB009-L-04</t>
  </si>
  <si>
    <t>ING26-LAB009-L-05</t>
  </si>
  <si>
    <t>ING26-LAB009-L-06</t>
  </si>
  <si>
    <t>ING26-LAB009-L-07</t>
  </si>
  <si>
    <t>ING26-LAB009-L-08</t>
  </si>
  <si>
    <t>ING26-LAB009-L-09</t>
  </si>
  <si>
    <t>EV-ING26-LAB009-09</t>
  </si>
  <si>
    <t>ING26-LAB009-L-10</t>
  </si>
  <si>
    <t>ING26-LAB009-L-11</t>
  </si>
  <si>
    <t>ING26-LAB009-L-12</t>
  </si>
  <si>
    <t>ING26-LAB010-L-01</t>
  </si>
  <si>
    <t>Viniliquid (Fermentis): 4 mL</t>
  </si>
  <si>
    <t>5/12/2026  15:00:00 PM</t>
  </si>
  <si>
    <t>EV-ING26-LAB010-01</t>
  </si>
  <si>
    <t>EV-ING26-LAB010-02</t>
  </si>
  <si>
    <t>DM35 + pH + Oculyze + Alcolyzer + biomasa + Y15 parcial + respaldo</t>
  </si>
  <si>
    <t>Planificado</t>
  </si>
  <si>
    <t>Mayo T1</t>
  </si>
  <si>
    <t>Condición D</t>
  </si>
  <si>
    <t>Control frío isotérmico como benchmark de síntesis/retención aromática</t>
  </si>
  <si>
    <t>15 °C constante; sin pulso automático de Viniliquid en esta corrida.</t>
  </si>
  <si>
    <t>ING26-LAB010-L-02</t>
  </si>
  <si>
    <t>DM35 + pH + Oculyze + respaldo</t>
  </si>
  <si>
    <t>ING26-LAB010-L-03</t>
  </si>
  <si>
    <t>5/13/2026  15:00:00 PM</t>
  </si>
  <si>
    <t>ING26-LAB010-L-04</t>
  </si>
  <si>
    <t>ING26-LAB010-L-06</t>
  </si>
  <si>
    <t>Post pulso nutricional 2</t>
  </si>
  <si>
    <t>ING26-LAB010-L-05</t>
  </si>
  <si>
    <t>5/15/2026  15:00:00 PM</t>
  </si>
  <si>
    <t>Pulso nutricional 2 / 1040 proxy</t>
  </si>
  <si>
    <t>DM35 + pH + Oculyze + Alcolyzer + biomasa + Y15 parcial + respaldo + GC-MS/MS MEF</t>
  </si>
  <si>
    <t>ING26-LAB010-L-07</t>
  </si>
  <si>
    <t>EV-ING26-LAB010-03</t>
  </si>
  <si>
    <t>Seguimiento 120 h</t>
  </si>
  <si>
    <t>ING26-LAB010-L-08</t>
  </si>
  <si>
    <t>Seguimiento 144 h</t>
  </si>
  <si>
    <t>ING26-LAB010-L-09</t>
  </si>
  <si>
    <t>Fin programa base 192 h</t>
  </si>
  <si>
    <t>ING26-LAB011-L-01</t>
  </si>
  <si>
    <t>EV-ING26-LAB011-01</t>
  </si>
  <si>
    <t>EV-ING26-LAB011-02</t>
  </si>
  <si>
    <t>Condición E</t>
  </si>
  <si>
    <t>Validar ventana fría de síntesis seguida de finish caliente</t>
  </si>
  <si>
    <t>18 °C 24 h → 15 °C 48 h → 21 °C hasta fin; tiempos proxy ajustados -24 h respecto a piloto.</t>
  </si>
  <si>
    <t>ING26-LAB011-L-02</t>
  </si>
  <si>
    <t>ING26-LAB011-L-04</t>
  </si>
  <si>
    <t>EV-ING26-LAB011-03</t>
  </si>
  <si>
    <t>ING26-LAB011-L-03</t>
  </si>
  <si>
    <t>5/14/2026  15:00:00 PM</t>
  </si>
  <si>
    <t>Cambio temperatura 1</t>
  </si>
  <si>
    <t>ING26-LAB011-L-05</t>
  </si>
  <si>
    <t>Ventana fría / pre cambio temperatura 2</t>
  </si>
  <si>
    <t>ING26-LAB011-L-06</t>
  </si>
  <si>
    <t>EV-ING26-LAB011-04</t>
  </si>
  <si>
    <t>Cambio temperatura 2 + Pulso nutricional 2</t>
  </si>
  <si>
    <t>ING26-LAB011-L-07</t>
  </si>
  <si>
    <t>EV-ING26-LAB011-05</t>
  </si>
  <si>
    <t>Post cambio temperatura 2</t>
  </si>
  <si>
    <t>ING26-LAB011-L-08</t>
  </si>
  <si>
    <t>ING26-LAB012-L-01</t>
  </si>
  <si>
    <t>EV-ING26-LAB012-01</t>
  </si>
  <si>
    <t>EV-ING26-LAB012-02</t>
  </si>
  <si>
    <t>Condición F</t>
  </si>
  <si>
    <t>Validar arranque frío sostenido con rampa intermedia y finish caliente</t>
  </si>
  <si>
    <t>15 °C 60 h → 18 °C 36 h → 21 °C hasta fin; tiempos proxy ajustados usando evolución piloto fría.</t>
  </si>
  <si>
    <t>ING26-LAB012-L-02</t>
  </si>
  <si>
    <t>ING26-LAB012-L-04</t>
  </si>
  <si>
    <t>ING26-LAB012-L-05</t>
  </si>
  <si>
    <t>ING26-LAB012-L-06</t>
  </si>
  <si>
    <t>EV-ING26-LAB012-03</t>
  </si>
  <si>
    <t>ING26-LAB012-L-03</t>
  </si>
  <si>
    <t>ING26-LAB012-L-07</t>
  </si>
  <si>
    <t>EV-ING26-LAB012-05</t>
  </si>
  <si>
    <t>EV-ING26-LAB012-04</t>
  </si>
  <si>
    <t>ING26-LAB012-L-08</t>
  </si>
  <si>
    <t>Cambio temperatura 2 / post pulso</t>
  </si>
  <si>
    <t>t_h</t>
  </si>
  <si>
    <t>evento_o_fase</t>
  </si>
  <si>
    <t>fuente</t>
  </si>
  <si>
    <t>EV-ING26-LAB004-05</t>
  </si>
  <si>
    <t>EV-ING26-LAB005-05</t>
  </si>
  <si>
    <t>EV-ING26-LAB006-05</t>
  </si>
  <si>
    <t>Protocolo B Fase 3</t>
  </si>
  <si>
    <t>Protocolo A Fase 3</t>
  </si>
  <si>
    <t>Código evento</t>
  </si>
  <si>
    <t>Fecha</t>
  </si>
  <si>
    <t>Hora</t>
  </si>
  <si>
    <t>Fecha-hora</t>
  </si>
  <si>
    <t>Tipo evento</t>
  </si>
  <si>
    <t>Producto/Nutriente</t>
  </si>
  <si>
    <t>Dosis</t>
  </si>
  <si>
    <t>Unidad</t>
  </si>
  <si>
    <t>Estado fermentación</t>
  </si>
  <si>
    <t>Responsable</t>
  </si>
  <si>
    <t>Estado</t>
  </si>
  <si>
    <t>Fecha de ejecución</t>
  </si>
  <si>
    <t>Observaciones</t>
  </si>
  <si>
    <t>Código ensayo imputado</t>
  </si>
  <si>
    <t>fecha_hora_normalizada</t>
  </si>
  <si>
    <t>t_evento_h</t>
  </si>
  <si>
    <t>EV-ING26-LAB004-01</t>
  </si>
  <si>
    <t>Siembra</t>
  </si>
  <si>
    <t>Levadura Zymaflore X5</t>
  </si>
  <si>
    <t>g</t>
  </si>
  <si>
    <t>Equipo Laboratorio</t>
  </si>
  <si>
    <t>Inoculación del ensayo.</t>
  </si>
  <si>
    <t>Springferm Xtrem + FDA</t>
  </si>
  <si>
    <t>1.00 + 0.40</t>
  </si>
  <si>
    <t>Inoculación</t>
  </si>
  <si>
    <t>Aplicar 50% del suplemento total al inóculo; mantener igual en A/B/C.</t>
  </si>
  <si>
    <t>Densidad 1040</t>
  </si>
  <si>
    <t>Aplicar 50% restante a densidad 1040; fecha estimada, ajustar por densidad real.</t>
  </si>
  <si>
    <t>Setpoint 21 °C</t>
  </si>
  <si>
    <t>°C</t>
  </si>
  <si>
    <t>Cambio térmico 1</t>
  </si>
  <si>
    <t>Fin Fase 1; inicio Fase 2 (A).</t>
  </si>
  <si>
    <t>Cambio temperatura 2</t>
  </si>
  <si>
    <t>Setpoint 16 °C</t>
  </si>
  <si>
    <t>Cambio térmico 2</t>
  </si>
  <si>
    <t>Fin Fase 2; inicio Fase 3 (A).</t>
  </si>
  <si>
    <t>EV-ING26-LAB005-01</t>
  </si>
  <si>
    <t>EV-ING26-LAB006-01</t>
  </si>
  <si>
    <t>Setpoint 18 °C</t>
  </si>
  <si>
    <t>Fin Fase 1; inicio Fase 2 (C).</t>
  </si>
  <si>
    <t>Fin Fase 2; inicio Fase 3 (C).</t>
  </si>
  <si>
    <t>EV-ING26-LAB007-01</t>
  </si>
  <si>
    <t>Realizado</t>
  </si>
  <si>
    <t>Equipo Bodega</t>
  </si>
  <si>
    <t>Fin Fase 1; inicio Fase 2 (B).</t>
  </si>
  <si>
    <t>EV-ING26-LAB007-16</t>
  </si>
  <si>
    <t>EV-ING26-LAB008-01</t>
  </si>
  <si>
    <t>EV-ING26-LAB008-16</t>
  </si>
  <si>
    <t>EV-ING26-LAB009-01</t>
  </si>
  <si>
    <t>EV-ING26-LAB009-13</t>
  </si>
  <si>
    <t>EV-ING26-LAB010-00</t>
  </si>
  <si>
    <t>Setpoint 15 °C</t>
  </si>
  <si>
    <t>Temperatura inicial</t>
  </si>
  <si>
    <t>Ajuste inicial de temperatura de proceso. 15 °C isotérmico</t>
  </si>
  <si>
    <t>Viniliquid (Fermentis)</t>
  </si>
  <si>
    <t>mL</t>
  </si>
  <si>
    <t>Corrección inicial</t>
  </si>
  <si>
    <t>Aportamos 80 ppm YAN</t>
  </si>
  <si>
    <t>Corrección 1040</t>
  </si>
  <si>
    <t>EV-ING26-LAB011-00</t>
  </si>
  <si>
    <t>Ajuste inicial de temperatura de proceso. 18 °C por 24 h → 15 °C hasta densidad 1040 → 21 °C hasta fin</t>
  </si>
  <si>
    <t>Inicio fase fría; proxy ajustado -24 h respecto a la respuesta piloto.</t>
  </si>
  <si>
    <t>Inicio finish caliente; proxy ajustado -24 h respecto a la respuesta piloto.</t>
  </si>
  <si>
    <t>EV-ING26-LAB012-00</t>
  </si>
  <si>
    <t>Ajuste inicial de temperatura de proceso. 15 °C hasta densidad 1060–1055 → 18 °C hasta 1040 → 21 °C hasta fin</t>
  </si>
  <si>
    <t>Salida del tramo frío; proxy ajustado -24 h respecto a piloto.</t>
  </si>
  <si>
    <t>Inicio finish caliente; proxy ajustado -24 h respecto a piloto.</t>
  </si>
  <si>
    <t>Fecha inoculación</t>
  </si>
  <si>
    <t>Hora inoculación</t>
  </si>
  <si>
    <t>Por definir</t>
  </si>
  <si>
    <t>Código muestra</t>
  </si>
  <si>
    <t>t_muestreo_h</t>
  </si>
  <si>
    <t>Muestreo homólogo entre piloto y laboratorio. Fase temprana con frecuencia cada 12 h. Punto extendido seleccionado para limitar consumo de volumen.</t>
  </si>
  <si>
    <t>normalizada_dia_mes_desde_2026-06-04 15:00</t>
  </si>
  <si>
    <t>Muestreo homólogo entre piloto y laboratorio. Fase temprana con frecuencia cada 12 h.</t>
  </si>
  <si>
    <t>Muestreo homólogo entre piloto y laboratorio. Punto reforzado alrededor del cambio térmico. Punto extendido seleccionado para limitar consumo de volumen.</t>
  </si>
  <si>
    <t>Muestreo homólogo entre piloto y laboratorio.</t>
  </si>
  <si>
    <t>Muestreo homólogo entre piloto y laboratorio. Punto reforzado alrededor del cambio térmico.</t>
  </si>
  <si>
    <t>Muestreo homólogo entre piloto y laboratorio. Punto extendido seleccionado para limitar consumo de volumen.</t>
  </si>
  <si>
    <t>ING26-LAB004-14</t>
  </si>
  <si>
    <t>ING26-LAB004-15</t>
  </si>
  <si>
    <t>14-04-2026 08:00</t>
  </si>
  <si>
    <t>ING26-LAB004-16</t>
  </si>
  <si>
    <t>ING26-LAB004-17</t>
  </si>
  <si>
    <t>15-04-2026 15:00</t>
  </si>
  <si>
    <t>Seguimiento diario 216 h</t>
  </si>
  <si>
    <t>ING26-LAB004-18</t>
  </si>
  <si>
    <t>16-04-2026 15:00</t>
  </si>
  <si>
    <t>Seguimiento diario 240 h</t>
  </si>
  <si>
    <t>ING26-LAB004-19</t>
  </si>
  <si>
    <t>17-04-2026 15:00</t>
  </si>
  <si>
    <t>Seguimiento diario 264 h</t>
  </si>
  <si>
    <t>ING26-LAB004-20</t>
  </si>
  <si>
    <t>18-04-2026 15:00</t>
  </si>
  <si>
    <t>Fin programa base 288 h</t>
  </si>
  <si>
    <t>ING26-LAB005-14</t>
  </si>
  <si>
    <t>ING26-LAB005-15</t>
  </si>
  <si>
    <t>ING26-LAB005-16</t>
  </si>
  <si>
    <t>ING26-LAB005-17</t>
  </si>
  <si>
    <t>ING26-LAB005-18</t>
  </si>
  <si>
    <t>ING26-LAB005-19</t>
  </si>
  <si>
    <t>ING26-LAB005-20</t>
  </si>
  <si>
    <t>ING26-LAB006-16</t>
  </si>
  <si>
    <t>ING26-LAB006-17</t>
  </si>
  <si>
    <t>16-04-2026 08:00</t>
  </si>
  <si>
    <t>ING26-LAB006-18</t>
  </si>
  <si>
    <t>ING26-LAB006-19</t>
  </si>
  <si>
    <t>ING26-LAB006-20</t>
  </si>
  <si>
    <t>Punto inicial + nutrición basal.</t>
  </si>
  <si>
    <t>Fase temprana.</t>
  </si>
  <si>
    <t>Seguimiento temprano.</t>
  </si>
  <si>
    <t>Seguimiento en régimen frío estable.</t>
  </si>
  <si>
    <t>Punto operacional clave para evaluar respuesta al segundo pulso de Viniliquid.</t>
  </si>
  <si>
    <t>Seguimiento post-pulso en régimen isotérmico.</t>
  </si>
  <si>
    <t>Seguimiento intermedio tardío.</t>
  </si>
  <si>
    <t>Seguimiento tardío.</t>
  </si>
  <si>
    <t>Punto final base para cierre de cinética y aroma en MEF.</t>
  </si>
  <si>
    <t>Inicio de fase fría; coincide con hito operacional.</t>
  </si>
  <si>
    <t>Respuesta temprana a entrada en fase fría.</t>
  </si>
  <si>
    <t>Punto de síntesis/retención previo a finish caliente.</t>
  </si>
  <si>
    <t>Coincidencia de pulso de Viniliquid y salida de fase fría.</t>
  </si>
  <si>
    <t>Seguimiento temprano del finish caliente.</t>
  </si>
  <si>
    <t>ING26-LAB011-L-09</t>
  </si>
  <si>
    <t>Fin programa base 168 h</t>
  </si>
  <si>
    <t>Seguimiento en tramo frío.</t>
  </si>
  <si>
    <t>Salida del tramo frío e ingreso a 18 °C.</t>
  </si>
  <si>
    <t>Seguimiento tras primer escalón térmico.</t>
  </si>
  <si>
    <t>Punto clave para evaluar efecto del segundo pulso antes de finish caliente.</t>
  </si>
  <si>
    <t>Entrada a 21 °C luego del pulso nutricional 2.</t>
  </si>
  <si>
    <t>ING26-LAB012-L-09</t>
  </si>
  <si>
    <t>ING26-LAB012-L-10</t>
  </si>
  <si>
    <t>Peso seco biomasa (g)</t>
  </si>
  <si>
    <t>Revisado por</t>
  </si>
  <si>
    <t>Punto extendido asociado al perfil operacional.</t>
  </si>
  <si>
    <t>Punto final extendido; asociar además a condensado final.</t>
  </si>
  <si>
    <t>Ensayo</t>
  </si>
  <si>
    <t>Vol GC (mL)</t>
  </si>
  <si>
    <t>Dilución 1:X</t>
  </si>
  <si>
    <t>GA muestra (% v/v)</t>
  </si>
  <si>
    <t>EtOH objetivo (%)</t>
  </si>
  <si>
    <t>Alcohol HPLC 100%  (uL)</t>
  </si>
  <si>
    <t>Vol muestra (µL)</t>
  </si>
  <si>
    <t>Pre-cargado: completar según alcohol medido</t>
  </si>
  <si>
    <t>ING26-LAB007-01</t>
  </si>
  <si>
    <t>ING26-LAB007-05</t>
  </si>
  <si>
    <t>ING26-LAB007-08</t>
  </si>
  <si>
    <t>ING26-LAB007-12</t>
  </si>
  <si>
    <t>ING26-LAB007-13</t>
  </si>
  <si>
    <t>ING26-LAB008-01</t>
  </si>
  <si>
    <t>ING26-LAB008-05</t>
  </si>
  <si>
    <t>ING26-LAB008-08</t>
  </si>
  <si>
    <t>ING26-LAB008-12</t>
  </si>
  <si>
    <t>ING26-LAB008-13</t>
  </si>
  <si>
    <t>ING26-LAB009-01</t>
  </si>
  <si>
    <t>ING26-LAB009-05</t>
  </si>
  <si>
    <t>ING26-LAB009-06</t>
  </si>
  <si>
    <t>ING26-LAB009-11</t>
  </si>
  <si>
    <t>ING26-LAB009-12</t>
  </si>
  <si>
    <t>Código condensado / mix</t>
  </si>
  <si>
    <t>Código muestra MEF</t>
  </si>
  <si>
    <t>Vol CA (mL)</t>
  </si>
  <si>
    <t>Vol CB (mL)</t>
  </si>
  <si>
    <t>Vol MIX CA + CB (µL)</t>
  </si>
  <si>
    <t>Vol CA MIX(uL)</t>
  </si>
  <si>
    <t>Vol CB MIX(uL)</t>
  </si>
  <si>
    <t>Vol GC (µL)</t>
  </si>
  <si>
    <t>Dil. GC</t>
  </si>
  <si>
    <t>Vol MIX (uL)</t>
  </si>
  <si>
    <t>Vol agua (µL)</t>
  </si>
  <si>
    <t>ING26-LAB010-COND-01</t>
  </si>
  <si>
    <t>Punto final único de condensados; completar volúmenes CA/CB al cierre.</t>
  </si>
  <si>
    <t>ING26-LAB011-COND-01</t>
  </si>
  <si>
    <t>ING26-LAB012-COND-01</t>
  </si>
  <si>
    <t>Columna salida</t>
  </si>
  <si>
    <t>Fuente</t>
  </si>
  <si>
    <t>Regla</t>
  </si>
  <si>
    <t>06_Resultados_primarios.Código muestra</t>
  </si>
  <si>
    <t>Código de muestra original</t>
  </si>
  <si>
    <t>06_Resultados_primarios.Fecha-hora</t>
  </si>
  <si>
    <t>Normalizada a fecha Excel; en LAB004-LAB006 se corrigió dd/mm cuando Excel lo interpretó mm/dd</t>
  </si>
  <si>
    <t>fecha_hora + Eventos_operacion.Siembra</t>
  </si>
  <si>
    <t>Horas desde siembra. En LAB007-LAB009 se usa primer muestreo como t=0 porque la siembra en Eventos está desalineada</t>
  </si>
  <si>
    <t>03_Eventos_operacion + protocolos A/B/C cuando falta setpoint inicial</t>
  </si>
  <si>
    <t>Último setpoint activo para cada t</t>
  </si>
  <si>
    <t>06_Resultados_primarios.Densidad</t>
  </si>
  <si>
    <t>Sin transformación</t>
  </si>
  <si>
    <t>06_Resultados_primarios.Oculyze Viability</t>
  </si>
  <si>
    <t>07_Resultados_extendidos.Peso seco biomasa (g)</t>
  </si>
  <si>
    <t>Join por Código muestra</t>
  </si>
  <si>
    <t>06_Resultados_primarios.Y15 Glucosa</t>
  </si>
  <si>
    <t>06_Resultados_primarios.Y15 Fructosa</t>
  </si>
  <si>
    <t>06_Resultados_primarios.Y15 PAN</t>
  </si>
  <si>
    <t>06_Resultados_primarios.Y15 Amonio</t>
  </si>
  <si>
    <t>Y15 PAN + Y15 Amonio</t>
  </si>
  <si>
    <t>Calculado como PAN + 0,82 × Amonio, igual a la lógica observada en el archivo de referencia</t>
  </si>
  <si>
    <t>06_Resultados_primarios.Y15 Glicerol</t>
  </si>
  <si>
    <t>06_Resultados_primarios.Y15 Piruvic</t>
  </si>
  <si>
    <t>06_Resultados_primarios.Y15 Acetaldehido</t>
  </si>
  <si>
    <t>06_Resultados_primarios.Cf Alcolyzer Real (% v/v)</t>
  </si>
  <si>
    <t>Se usa el valor real corregido; se conserva también Cf Alcolyzer bruto en columnas extra</t>
  </si>
  <si>
    <t>03_Eventos_operacion.Pulso nutricional</t>
  </si>
  <si>
    <t>Evento asignado a la primera muestra con t &gt;= t_evento</t>
  </si>
  <si>
    <t>aromas_total_*</t>
  </si>
  <si>
    <t>No disponible en Planilla Maestra</t>
  </si>
  <si>
    <t>Columnas mantenidas por compatibilidad con referencia; quedan vacías</t>
  </si>
  <si>
    <t>Densidad</t>
  </si>
  <si>
    <t>Oculyze Viability</t>
  </si>
  <si>
    <t>Y15 Glucosa</t>
  </si>
  <si>
    <t>Y15 Fructosa</t>
  </si>
  <si>
    <t>Y15 PAN</t>
  </si>
  <si>
    <t>Y15 Amonio</t>
  </si>
  <si>
    <t>Y15 Glicerol</t>
  </si>
  <si>
    <t>Y15 Piruvic</t>
  </si>
  <si>
    <t>Y15 Acetaldehido</t>
  </si>
  <si>
    <t>ING26-LAB004-N</t>
  </si>
  <si>
    <t>ING26-LAB005-N</t>
  </si>
  <si>
    <t>ING26-LAB006-N</t>
  </si>
  <si>
    <t>ING26-LAB007-L-N</t>
  </si>
  <si>
    <t>ING26-LAB009-L-N</t>
  </si>
  <si>
    <t>ING26-LAB010-L-N</t>
  </si>
  <si>
    <t>ING26-LAB011-L-N</t>
  </si>
  <si>
    <t>ING26-LAB012-L-N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</si>
</sst>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4">
    <font>
      <sz val="11"/>
      <name val="Carlito"/>
    </font>
    <font>
      <b/>
      <sz val="11"/>
      <color rgb="FFFFFFFF"/>
      <name val="Carlito"/>
    </font>
    <font>
      <sz val="8"/>
      <name val="Carlito"/>
    </font>
    <font>
      <sz val="11"/>
      <color rgb="FFFF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4" fontId="0" fillId="0" borderId="0" xfId="0" applyNumberFormat="1"/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atos_homologados" displayName="T_Datos_homologados" ref="A1:BY105">
  <tableColumns count="77">
    <tableColumn id="1" xr3:uid="{00000000-0010-0000-0000-000001000000}" name="ID"/>
    <tableColumn id="2" xr3:uid="{00000000-0010-0000-0000-000002000000}" name="fecha_hora"/>
    <tableColumn id="3" xr3:uid="{00000000-0010-0000-0000-000003000000}" name="t"/>
    <tableColumn id="4" xr3:uid="{00000000-0010-0000-0000-000004000000}" name="temperatura"/>
    <tableColumn id="5" xr3:uid="{00000000-0010-0000-0000-000005000000}" name="densidad"/>
    <tableColumn id="6" xr3:uid="{00000000-0010-0000-0000-000006000000}" name="Viability"/>
    <tableColumn id="7" xr3:uid="{00000000-0010-0000-0000-000007000000}" name="Peso Seco"/>
    <tableColumn id="8" xr3:uid="{00000000-0010-0000-0000-000008000000}" name="GLUCOSE"/>
    <tableColumn id="9" xr3:uid="{00000000-0010-0000-0000-000009000000}" name="FRUCTOSE"/>
    <tableColumn id="10" xr3:uid="{00000000-0010-0000-0000-00000A000000}" name="PAN"/>
    <tableColumn id="11" xr3:uid="{00000000-0010-0000-0000-00000B000000}" name="AMMONIA"/>
    <tableColumn id="12" xr3:uid="{00000000-0010-0000-0000-00000C000000}" name="YAN"/>
    <tableColumn id="13" xr3:uid="{00000000-0010-0000-0000-00000D000000}" name="GLYCEROL"/>
    <tableColumn id="14" xr3:uid="{00000000-0010-0000-0000-00000E000000}" name="PYRUVIC ACID"/>
    <tableColumn id="15" xr3:uid="{00000000-0010-0000-0000-00000F000000}" name="PYRUVIC ACID2"/>
    <tableColumn id="16" xr3:uid="{00000000-0010-0000-0000-000010000000}" name="ACETALDEHIDO"/>
    <tableColumn id="17" xr3:uid="{00000000-0010-0000-0000-000011000000}" name="ETANOL"/>
    <tableColumn id="18" xr3:uid="{00000000-0010-0000-0000-000012000000}" name="pulso_nut"/>
    <tableColumn id="19" xr3:uid="{00000000-0010-0000-0000-000013000000}" name="bencil_alcohol_total"/>
    <tableColumn id="20" xr3:uid="{00000000-0010-0000-0000-000014000000}" name="benzaldehido_total"/>
    <tableColumn id="21" xr3:uid="{00000000-0010-0000-0000-000015000000}" name="decanoato_de_etilo_total"/>
    <tableColumn id="22" xr3:uid="{00000000-0010-0000-0000-000016000000}" name="hexil_acetate_total"/>
    <tableColumn id="23" xr3:uid="{00000000-0010-0000-0000-000017000000}" name="isoamil_acetate_total"/>
    <tableColumn id="24" xr3:uid="{00000000-0010-0000-0000-000018000000}" name="octanoate_de_etilo_total"/>
    <tableColumn id="25" xr3:uid="{00000000-0010-0000-0000-000019000000}" name="phenylethylacetate_total"/>
    <tableColumn id="26" xr3:uid="{00000000-0010-0000-0000-00001A000000}" name="Ethyl_Acetate_total"/>
    <tableColumn id="27" xr3:uid="{00000000-0010-0000-0000-00001B000000}" name="Código ensayo"/>
    <tableColumn id="28" xr3:uid="{00000000-0010-0000-0000-00001C000000}" name="fecha_hora_original"/>
    <tableColumn id="29" xr3:uid="{00000000-0010-0000-0000-00001D000000}" name="fecha_hora_nota"/>
    <tableColumn id="30" xr3:uid="{00000000-0010-0000-0000-00001E000000}" name="base_t_origen"/>
    <tableColumn id="31" xr3:uid="{00000000-0010-0000-0000-00001F000000}" name="temperatura_fuente"/>
    <tableColumn id="32" xr3:uid="{00000000-0010-0000-0000-000020000000}" name="temperatura_evento_activo"/>
    <tableColumn id="33" xr3:uid="{00000000-0010-0000-0000-000021000000}" name="protocolo_inferido"/>
    <tableColumn id="34" xr3:uid="{00000000-0010-0000-0000-000022000000}" name="pulso_nut_evento"/>
    <tableColumn id="35" xr3:uid="{00000000-0010-0000-0000-000023000000}" name="pulso_nut_t_h"/>
    <tableColumn id="36" xr3:uid="{00000000-0010-0000-0000-000024000000}" name="pulso_nut_tipo"/>
    <tableColumn id="37" xr3:uid="{00000000-0010-0000-0000-000025000000}" name="Brix"/>
    <tableColumn id="38" xr3:uid="{00000000-0010-0000-0000-000026000000}" name="pH"/>
    <tableColumn id="39" xr3:uid="{00000000-0010-0000-0000-000027000000}" name="DO"/>
    <tableColumn id="40" xr3:uid="{00000000-0010-0000-0000-000028000000}" name="Oculyze Concentration"/>
    <tableColumn id="41" xr3:uid="{00000000-0010-0000-0000-000029000000}" name="Oculyze Budding"/>
    <tableColumn id="42" xr3:uid="{00000000-0010-0000-0000-00002A000000}" name="Y15 Glucosa-Fructosa"/>
    <tableColumn id="43" xr3:uid="{00000000-0010-0000-0000-00002B000000}" name="Y15 Acetico"/>
    <tableColumn id="44" xr3:uid="{00000000-0010-0000-0000-00002C000000}" name="Cf Alcolyzer (% v/v)"/>
    <tableColumn id="45" xr3:uid="{00000000-0010-0000-0000-00002D000000}" name="Cf Alcolyzer Real (% v/v)"/>
    <tableColumn id="46" xr3:uid="{00000000-0010-0000-0000-00002E000000}" name="Tipo muestra"/>
    <tableColumn id="47" xr3:uid="{00000000-0010-0000-0000-00002F000000}" name="Hito"/>
    <tableColumn id="48" xr3:uid="{00000000-0010-0000-0000-000030000000}" name="Matriz"/>
    <tableColumn id="49" xr3:uid="{00000000-0010-0000-0000-000031000000}" name="Volumen total (mL)"/>
    <tableColumn id="50" xr3:uid="{00000000-0010-0000-0000-000032000000}" name="Contenedores"/>
    <tableColumn id="51" xr3:uid="{00000000-0010-0000-0000-000033000000}" name="Análisis planificados"/>
    <tableColumn id="52" xr3:uid="{00000000-0010-0000-0000-000034000000}" name="Estado muestreo"/>
    <tableColumn id="53" xr3:uid="{00000000-0010-0000-0000-000035000000}" name="Peso recipiente (g)"/>
    <tableColumn id="54" xr3:uid="{00000000-0010-0000-0000-000036000000}" name="Extracto seco (g)"/>
    <tableColumn id="55" xr3:uid="{00000000-0010-0000-0000-000037000000}" name="GC-MS/MS MEF"/>
    <tableColumn id="56" xr3:uid="{00000000-0010-0000-0000-000038000000}" name="GC-MS/MS Cond"/>
    <tableColumn id="57" xr3:uid="{00000000-0010-0000-0000-000039000000}" name="Freezer"/>
    <tableColumn id="58" xr3:uid="{00000000-0010-0000-0000-00003A000000}" name="Caja"/>
    <tableColumn id="59" xr3:uid="{00000000-0010-0000-0000-00003B000000}" name="Posición"/>
    <tableColumn id="60" xr3:uid="{00000000-0010-0000-0000-00003C000000}" name="Aroma Vol GC (mL)"/>
    <tableColumn id="61" xr3:uid="{00000000-0010-0000-0000-00003D000000}" name="Aroma Dilución 1:X"/>
    <tableColumn id="62" xr3:uid="{00000000-0010-0000-0000-00003E000000}" name="Aroma GA muestra (% v/v)"/>
    <tableColumn id="63" xr3:uid="{00000000-0010-0000-0000-00003F000000}" name="Aroma EtOH objetivo (%)"/>
    <tableColumn id="64" xr3:uid="{00000000-0010-0000-0000-000040000000}" name="Aroma Alcohol HPLC 100% (uL)"/>
    <tableColumn id="65" xr3:uid="{00000000-0010-0000-0000-000041000000}" name="Aroma Vol muestra (µL)"/>
    <tableColumn id="66" xr3:uid="{00000000-0010-0000-0000-000042000000}" name="Temporada"/>
    <tableColumn id="67" xr3:uid="{00000000-0010-0000-0000-000043000000}" name="Proyecto"/>
    <tableColumn id="68" xr3:uid="{00000000-0010-0000-0000-000044000000}" name="Escala"/>
    <tableColumn id="69" xr3:uid="{00000000-0010-0000-0000-000045000000}" name="Lote"/>
    <tableColumn id="70" xr3:uid="{00000000-0010-0000-0000-000046000000}" name="Reactor/Estanque"/>
    <tableColumn id="71" xr3:uid="{00000000-0010-0000-0000-000047000000}" name="Condición"/>
    <tableColumn id="72" xr3:uid="{00000000-0010-0000-0000-000048000000}" name="Réplica"/>
    <tableColumn id="73" xr3:uid="{00000000-0010-0000-0000-000049000000}" name="Variedad"/>
    <tableColumn id="74" xr3:uid="{00000000-0010-0000-0000-00004A000000}" name="Levadura"/>
    <tableColumn id="75" xr3:uid="{00000000-0010-0000-0000-00004B000000}" name="Volumen inicial (L)"/>
    <tableColumn id="76" xr3:uid="{00000000-0010-0000-0000-00004C000000}" name="Objetivo específico"/>
    <tableColumn id="77" xr3:uid="{00000000-0010-0000-0000-00004D000000}" name="Observaciones ensay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ING26_LAB004" displayName="T_ING26_LAB004" ref="A1:BY15">
  <tableColumns count="77">
    <tableColumn id="1" xr3:uid="{00000000-0010-0000-0100-000001000000}" name="ID"/>
    <tableColumn id="2" xr3:uid="{00000000-0010-0000-0100-000002000000}" name="fecha_hora"/>
    <tableColumn id="3" xr3:uid="{00000000-0010-0000-0100-000003000000}" name="t"/>
    <tableColumn id="4" xr3:uid="{00000000-0010-0000-0100-000004000000}" name="temperatura"/>
    <tableColumn id="5" xr3:uid="{00000000-0010-0000-0100-000005000000}" name="densidad"/>
    <tableColumn id="6" xr3:uid="{00000000-0010-0000-0100-000006000000}" name="Viability"/>
    <tableColumn id="7" xr3:uid="{00000000-0010-0000-0100-000007000000}" name="Peso Seco"/>
    <tableColumn id="8" xr3:uid="{00000000-0010-0000-0100-000008000000}" name="GLUCOSE"/>
    <tableColumn id="9" xr3:uid="{00000000-0010-0000-0100-000009000000}" name="FRUCTOSE"/>
    <tableColumn id="10" xr3:uid="{00000000-0010-0000-0100-00000A000000}" name="PAN"/>
    <tableColumn id="11" xr3:uid="{00000000-0010-0000-0100-00000B000000}" name="AMMONIA"/>
    <tableColumn id="12" xr3:uid="{00000000-0010-0000-0100-00000C000000}" name="YAN"/>
    <tableColumn id="13" xr3:uid="{00000000-0010-0000-0100-00000D000000}" name="GLYCEROL"/>
    <tableColumn id="14" xr3:uid="{00000000-0010-0000-0100-00000E000000}" name="PYRUVIC ACID"/>
    <tableColumn id="15" xr3:uid="{00000000-0010-0000-0100-00000F000000}" name="PYRUVIC ACID2"/>
    <tableColumn id="16" xr3:uid="{00000000-0010-0000-0100-000010000000}" name="ACETALDEHIDO"/>
    <tableColumn id="17" xr3:uid="{00000000-0010-0000-0100-000011000000}" name="ETANOL"/>
    <tableColumn id="18" xr3:uid="{00000000-0010-0000-0100-000012000000}" name="pulso_nut"/>
    <tableColumn id="19" xr3:uid="{00000000-0010-0000-0100-000013000000}" name="bencil_alcohol_total"/>
    <tableColumn id="20" xr3:uid="{00000000-0010-0000-0100-000014000000}" name="benzaldehido_total"/>
    <tableColumn id="21" xr3:uid="{00000000-0010-0000-0100-000015000000}" name="decanoato_de_etilo_total"/>
    <tableColumn id="22" xr3:uid="{00000000-0010-0000-0100-000016000000}" name="hexil_acetate_total"/>
    <tableColumn id="23" xr3:uid="{00000000-0010-0000-0100-000017000000}" name="isoamil_acetate_total"/>
    <tableColumn id="24" xr3:uid="{00000000-0010-0000-0100-000018000000}" name="octanoate_de_etilo_total"/>
    <tableColumn id="25" xr3:uid="{00000000-0010-0000-0100-000019000000}" name="phenylethylacetate_total"/>
    <tableColumn id="26" xr3:uid="{00000000-0010-0000-0100-00001A000000}" name="Ethyl_Acetate_total"/>
    <tableColumn id="27" xr3:uid="{00000000-0010-0000-0100-00001B000000}" name="Código ensayo"/>
    <tableColumn id="28" xr3:uid="{00000000-0010-0000-0100-00001C000000}" name="fecha_hora_original"/>
    <tableColumn id="29" xr3:uid="{00000000-0010-0000-0100-00001D000000}" name="fecha_hora_nota"/>
    <tableColumn id="30" xr3:uid="{00000000-0010-0000-0100-00001E000000}" name="base_t_origen"/>
    <tableColumn id="31" xr3:uid="{00000000-0010-0000-0100-00001F000000}" name="temperatura_fuente"/>
    <tableColumn id="32" xr3:uid="{00000000-0010-0000-0100-000020000000}" name="temperatura_evento_activo"/>
    <tableColumn id="33" xr3:uid="{00000000-0010-0000-0100-000021000000}" name="protocolo_inferido"/>
    <tableColumn id="34" xr3:uid="{00000000-0010-0000-0100-000022000000}" name="pulso_nut_evento"/>
    <tableColumn id="35" xr3:uid="{00000000-0010-0000-0100-000023000000}" name="pulso_nut_t_h"/>
    <tableColumn id="36" xr3:uid="{00000000-0010-0000-0100-000024000000}" name="pulso_nut_tipo"/>
    <tableColumn id="37" xr3:uid="{00000000-0010-0000-0100-000025000000}" name="Brix"/>
    <tableColumn id="38" xr3:uid="{00000000-0010-0000-0100-000026000000}" name="pH"/>
    <tableColumn id="39" xr3:uid="{00000000-0010-0000-0100-000027000000}" name="DO"/>
    <tableColumn id="40" xr3:uid="{00000000-0010-0000-0100-000028000000}" name="Oculyze Concentration"/>
    <tableColumn id="41" xr3:uid="{00000000-0010-0000-0100-000029000000}" name="Oculyze Budding"/>
    <tableColumn id="42" xr3:uid="{00000000-0010-0000-0100-00002A000000}" name="Y15 Glucosa-Fructosa"/>
    <tableColumn id="43" xr3:uid="{00000000-0010-0000-0100-00002B000000}" name="Y15 Acetico"/>
    <tableColumn id="44" xr3:uid="{00000000-0010-0000-0100-00002C000000}" name="Cf Alcolyzer (% v/v)"/>
    <tableColumn id="45" xr3:uid="{00000000-0010-0000-0100-00002D000000}" name="Cf Alcolyzer Real (% v/v)"/>
    <tableColumn id="46" xr3:uid="{00000000-0010-0000-0100-00002E000000}" name="Tipo muestra"/>
    <tableColumn id="47" xr3:uid="{00000000-0010-0000-0100-00002F000000}" name="Hito"/>
    <tableColumn id="48" xr3:uid="{00000000-0010-0000-0100-000030000000}" name="Matriz"/>
    <tableColumn id="49" xr3:uid="{00000000-0010-0000-0100-000031000000}" name="Volumen total (mL)"/>
    <tableColumn id="50" xr3:uid="{00000000-0010-0000-0100-000032000000}" name="Contenedores"/>
    <tableColumn id="51" xr3:uid="{00000000-0010-0000-0100-000033000000}" name="Análisis planificados"/>
    <tableColumn id="52" xr3:uid="{00000000-0010-0000-0100-000034000000}" name="Estado muestreo"/>
    <tableColumn id="53" xr3:uid="{00000000-0010-0000-0100-000035000000}" name="Peso recipiente (g)"/>
    <tableColumn id="54" xr3:uid="{00000000-0010-0000-0100-000036000000}" name="Extracto seco (g)"/>
    <tableColumn id="55" xr3:uid="{00000000-0010-0000-0100-000037000000}" name="GC-MS/MS MEF"/>
    <tableColumn id="56" xr3:uid="{00000000-0010-0000-0100-000038000000}" name="GC-MS/MS Cond"/>
    <tableColumn id="57" xr3:uid="{00000000-0010-0000-0100-000039000000}" name="Freezer"/>
    <tableColumn id="58" xr3:uid="{00000000-0010-0000-0100-00003A000000}" name="Caja"/>
    <tableColumn id="59" xr3:uid="{00000000-0010-0000-0100-00003B000000}" name="Posición"/>
    <tableColumn id="60" xr3:uid="{00000000-0010-0000-0100-00003C000000}" name="Aroma Vol GC (mL)"/>
    <tableColumn id="61" xr3:uid="{00000000-0010-0000-0100-00003D000000}" name="Aroma Dilución 1:X"/>
    <tableColumn id="62" xr3:uid="{00000000-0010-0000-0100-00003E000000}" name="Aroma GA muestra (% v/v)"/>
    <tableColumn id="63" xr3:uid="{00000000-0010-0000-0100-00003F000000}" name="Aroma EtOH objetivo (%)"/>
    <tableColumn id="64" xr3:uid="{00000000-0010-0000-0100-000040000000}" name="Aroma Alcohol HPLC 100% (uL)"/>
    <tableColumn id="65" xr3:uid="{00000000-0010-0000-0100-000041000000}" name="Aroma Vol muestra (µL)"/>
    <tableColumn id="66" xr3:uid="{00000000-0010-0000-0100-000042000000}" name="Temporada"/>
    <tableColumn id="67" xr3:uid="{00000000-0010-0000-0100-000043000000}" name="Proyecto"/>
    <tableColumn id="68" xr3:uid="{00000000-0010-0000-0100-000044000000}" name="Escala"/>
    <tableColumn id="69" xr3:uid="{00000000-0010-0000-0100-000045000000}" name="Lote"/>
    <tableColumn id="70" xr3:uid="{00000000-0010-0000-0100-000046000000}" name="Reactor/Estanque"/>
    <tableColumn id="71" xr3:uid="{00000000-0010-0000-0100-000047000000}" name="Condición"/>
    <tableColumn id="72" xr3:uid="{00000000-0010-0000-0100-000048000000}" name="Réplica"/>
    <tableColumn id="73" xr3:uid="{00000000-0010-0000-0100-000049000000}" name="Variedad"/>
    <tableColumn id="74" xr3:uid="{00000000-0010-0000-0100-00004A000000}" name="Levadura"/>
    <tableColumn id="75" xr3:uid="{00000000-0010-0000-0100-00004B000000}" name="Volumen inicial (L)"/>
    <tableColumn id="76" xr3:uid="{00000000-0010-0000-0100-00004C000000}" name="Objetivo específico"/>
    <tableColumn id="77" xr3:uid="{00000000-0010-0000-0100-00004D000000}" name="Observaciones ensay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ING26_LAB005" displayName="T_ING26_LAB005" ref="A1:BY15">
  <tableColumns count="77">
    <tableColumn id="1" xr3:uid="{00000000-0010-0000-0200-000001000000}" name="ID"/>
    <tableColumn id="2" xr3:uid="{00000000-0010-0000-0200-000002000000}" name="fecha_hora"/>
    <tableColumn id="3" xr3:uid="{00000000-0010-0000-0200-000003000000}" name="t"/>
    <tableColumn id="4" xr3:uid="{00000000-0010-0000-0200-000004000000}" name="temperatura"/>
    <tableColumn id="5" xr3:uid="{00000000-0010-0000-0200-000005000000}" name="densidad"/>
    <tableColumn id="6" xr3:uid="{00000000-0010-0000-0200-000006000000}" name="Viability"/>
    <tableColumn id="7" xr3:uid="{00000000-0010-0000-0200-000007000000}" name="Peso Seco"/>
    <tableColumn id="8" xr3:uid="{00000000-0010-0000-0200-000008000000}" name="GLUCOSE"/>
    <tableColumn id="9" xr3:uid="{00000000-0010-0000-0200-000009000000}" name="FRUCTOSE"/>
    <tableColumn id="10" xr3:uid="{00000000-0010-0000-0200-00000A000000}" name="PAN"/>
    <tableColumn id="11" xr3:uid="{00000000-0010-0000-0200-00000B000000}" name="AMMONIA"/>
    <tableColumn id="12" xr3:uid="{00000000-0010-0000-0200-00000C000000}" name="YAN"/>
    <tableColumn id="13" xr3:uid="{00000000-0010-0000-0200-00000D000000}" name="GLYCEROL"/>
    <tableColumn id="14" xr3:uid="{00000000-0010-0000-0200-00000E000000}" name="PYRUVIC ACID"/>
    <tableColumn id="15" xr3:uid="{00000000-0010-0000-0200-00000F000000}" name="PYRUVIC ACID2"/>
    <tableColumn id="16" xr3:uid="{00000000-0010-0000-0200-000010000000}" name="ACETALDEHIDO"/>
    <tableColumn id="17" xr3:uid="{00000000-0010-0000-0200-000011000000}" name="ETANOL"/>
    <tableColumn id="18" xr3:uid="{00000000-0010-0000-0200-000012000000}" name="pulso_nut"/>
    <tableColumn id="19" xr3:uid="{00000000-0010-0000-0200-000013000000}" name="bencil_alcohol_total"/>
    <tableColumn id="20" xr3:uid="{00000000-0010-0000-0200-000014000000}" name="benzaldehido_total"/>
    <tableColumn id="21" xr3:uid="{00000000-0010-0000-0200-000015000000}" name="decanoato_de_etilo_total"/>
    <tableColumn id="22" xr3:uid="{00000000-0010-0000-0200-000016000000}" name="hexil_acetate_total"/>
    <tableColumn id="23" xr3:uid="{00000000-0010-0000-0200-000017000000}" name="isoamil_acetate_total"/>
    <tableColumn id="24" xr3:uid="{00000000-0010-0000-0200-000018000000}" name="octanoate_de_etilo_total"/>
    <tableColumn id="25" xr3:uid="{00000000-0010-0000-0200-000019000000}" name="phenylethylacetate_total"/>
    <tableColumn id="26" xr3:uid="{00000000-0010-0000-0200-00001A000000}" name="Ethyl_Acetate_total"/>
    <tableColumn id="27" xr3:uid="{00000000-0010-0000-0200-00001B000000}" name="Código ensayo"/>
    <tableColumn id="28" xr3:uid="{00000000-0010-0000-0200-00001C000000}" name="fecha_hora_original"/>
    <tableColumn id="29" xr3:uid="{00000000-0010-0000-0200-00001D000000}" name="fecha_hora_nota"/>
    <tableColumn id="30" xr3:uid="{00000000-0010-0000-0200-00001E000000}" name="base_t_origen"/>
    <tableColumn id="31" xr3:uid="{00000000-0010-0000-0200-00001F000000}" name="temperatura_fuente"/>
    <tableColumn id="32" xr3:uid="{00000000-0010-0000-0200-000020000000}" name="temperatura_evento_activo"/>
    <tableColumn id="33" xr3:uid="{00000000-0010-0000-0200-000021000000}" name="protocolo_inferido"/>
    <tableColumn id="34" xr3:uid="{00000000-0010-0000-0200-000022000000}" name="pulso_nut_evento"/>
    <tableColumn id="35" xr3:uid="{00000000-0010-0000-0200-000023000000}" name="pulso_nut_t_h"/>
    <tableColumn id="36" xr3:uid="{00000000-0010-0000-0200-000024000000}" name="pulso_nut_tipo"/>
    <tableColumn id="37" xr3:uid="{00000000-0010-0000-0200-000025000000}" name="Brix"/>
    <tableColumn id="38" xr3:uid="{00000000-0010-0000-0200-000026000000}" name="pH"/>
    <tableColumn id="39" xr3:uid="{00000000-0010-0000-0200-000027000000}" name="DO"/>
    <tableColumn id="40" xr3:uid="{00000000-0010-0000-0200-000028000000}" name="Oculyze Concentration"/>
    <tableColumn id="41" xr3:uid="{00000000-0010-0000-0200-000029000000}" name="Oculyze Budding"/>
    <tableColumn id="42" xr3:uid="{00000000-0010-0000-0200-00002A000000}" name="Y15 Glucosa-Fructosa"/>
    <tableColumn id="43" xr3:uid="{00000000-0010-0000-0200-00002B000000}" name="Y15 Acetico"/>
    <tableColumn id="44" xr3:uid="{00000000-0010-0000-0200-00002C000000}" name="Cf Alcolyzer (% v/v)"/>
    <tableColumn id="45" xr3:uid="{00000000-0010-0000-0200-00002D000000}" name="Cf Alcolyzer Real (% v/v)"/>
    <tableColumn id="46" xr3:uid="{00000000-0010-0000-0200-00002E000000}" name="Tipo muestra"/>
    <tableColumn id="47" xr3:uid="{00000000-0010-0000-0200-00002F000000}" name="Hito"/>
    <tableColumn id="48" xr3:uid="{00000000-0010-0000-0200-000030000000}" name="Matriz"/>
    <tableColumn id="49" xr3:uid="{00000000-0010-0000-0200-000031000000}" name="Volumen total (mL)"/>
    <tableColumn id="50" xr3:uid="{00000000-0010-0000-0200-000032000000}" name="Contenedores"/>
    <tableColumn id="51" xr3:uid="{00000000-0010-0000-0200-000033000000}" name="Análisis planificados"/>
    <tableColumn id="52" xr3:uid="{00000000-0010-0000-0200-000034000000}" name="Estado muestreo"/>
    <tableColumn id="53" xr3:uid="{00000000-0010-0000-0200-000035000000}" name="Peso recipiente (g)"/>
    <tableColumn id="54" xr3:uid="{00000000-0010-0000-0200-000036000000}" name="Extracto seco (g)"/>
    <tableColumn id="55" xr3:uid="{00000000-0010-0000-0200-000037000000}" name="GC-MS/MS MEF"/>
    <tableColumn id="56" xr3:uid="{00000000-0010-0000-0200-000038000000}" name="GC-MS/MS Cond"/>
    <tableColumn id="57" xr3:uid="{00000000-0010-0000-0200-000039000000}" name="Freezer"/>
    <tableColumn id="58" xr3:uid="{00000000-0010-0000-0200-00003A000000}" name="Caja"/>
    <tableColumn id="59" xr3:uid="{00000000-0010-0000-0200-00003B000000}" name="Posición"/>
    <tableColumn id="60" xr3:uid="{00000000-0010-0000-0200-00003C000000}" name="Aroma Vol GC (mL)"/>
    <tableColumn id="61" xr3:uid="{00000000-0010-0000-0200-00003D000000}" name="Aroma Dilución 1:X"/>
    <tableColumn id="62" xr3:uid="{00000000-0010-0000-0200-00003E000000}" name="Aroma GA muestra (% v/v)"/>
    <tableColumn id="63" xr3:uid="{00000000-0010-0000-0200-00003F000000}" name="Aroma EtOH objetivo (%)"/>
    <tableColumn id="64" xr3:uid="{00000000-0010-0000-0200-000040000000}" name="Aroma Alcohol HPLC 100% (uL)"/>
    <tableColumn id="65" xr3:uid="{00000000-0010-0000-0200-000041000000}" name="Aroma Vol muestra (µL)"/>
    <tableColumn id="66" xr3:uid="{00000000-0010-0000-0200-000042000000}" name="Temporada"/>
    <tableColumn id="67" xr3:uid="{00000000-0010-0000-0200-000043000000}" name="Proyecto"/>
    <tableColumn id="68" xr3:uid="{00000000-0010-0000-0200-000044000000}" name="Escala"/>
    <tableColumn id="69" xr3:uid="{00000000-0010-0000-0200-000045000000}" name="Lote"/>
    <tableColumn id="70" xr3:uid="{00000000-0010-0000-0200-000046000000}" name="Reactor/Estanque"/>
    <tableColumn id="71" xr3:uid="{00000000-0010-0000-0200-000047000000}" name="Condición"/>
    <tableColumn id="72" xr3:uid="{00000000-0010-0000-0200-000048000000}" name="Réplica"/>
    <tableColumn id="73" xr3:uid="{00000000-0010-0000-0200-000049000000}" name="Variedad"/>
    <tableColumn id="74" xr3:uid="{00000000-0010-0000-0200-00004A000000}" name="Levadura"/>
    <tableColumn id="75" xr3:uid="{00000000-0010-0000-0200-00004B000000}" name="Volumen inicial (L)"/>
    <tableColumn id="76" xr3:uid="{00000000-0010-0000-0200-00004C000000}" name="Objetivo específico"/>
    <tableColumn id="77" xr3:uid="{00000000-0010-0000-0200-00004D000000}" name="Observaciones ensay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ING26_LAB006" displayName="T_ING26_LAB006" ref="A1:BY17">
  <tableColumns count="77">
    <tableColumn id="1" xr3:uid="{00000000-0010-0000-0300-000001000000}" name="ID"/>
    <tableColumn id="2" xr3:uid="{00000000-0010-0000-0300-000002000000}" name="fecha_hora"/>
    <tableColumn id="3" xr3:uid="{00000000-0010-0000-0300-000003000000}" name="t"/>
    <tableColumn id="4" xr3:uid="{00000000-0010-0000-0300-000004000000}" name="temperatura"/>
    <tableColumn id="5" xr3:uid="{00000000-0010-0000-0300-000005000000}" name="densidad"/>
    <tableColumn id="6" xr3:uid="{00000000-0010-0000-0300-000006000000}" name="Viability"/>
    <tableColumn id="7" xr3:uid="{00000000-0010-0000-0300-000007000000}" name="Peso Seco"/>
    <tableColumn id="8" xr3:uid="{00000000-0010-0000-0300-000008000000}" name="GLUCOSE"/>
    <tableColumn id="9" xr3:uid="{00000000-0010-0000-0300-000009000000}" name="FRUCTOSE"/>
    <tableColumn id="10" xr3:uid="{00000000-0010-0000-0300-00000A000000}" name="PAN"/>
    <tableColumn id="11" xr3:uid="{00000000-0010-0000-0300-00000B000000}" name="AMMONIA"/>
    <tableColumn id="12" xr3:uid="{00000000-0010-0000-0300-00000C000000}" name="YAN"/>
    <tableColumn id="13" xr3:uid="{00000000-0010-0000-0300-00000D000000}" name="GLYCEROL"/>
    <tableColumn id="14" xr3:uid="{00000000-0010-0000-0300-00000E000000}" name="PYRUVIC ACID"/>
    <tableColumn id="15" xr3:uid="{00000000-0010-0000-0300-00000F000000}" name="PYRUVIC ACID2"/>
    <tableColumn id="16" xr3:uid="{00000000-0010-0000-0300-000010000000}" name="ACETALDEHIDO"/>
    <tableColumn id="17" xr3:uid="{00000000-0010-0000-0300-000011000000}" name="ETANOL"/>
    <tableColumn id="18" xr3:uid="{00000000-0010-0000-0300-000012000000}" name="pulso_nut"/>
    <tableColumn id="19" xr3:uid="{00000000-0010-0000-0300-000013000000}" name="bencil_alcohol_total"/>
    <tableColumn id="20" xr3:uid="{00000000-0010-0000-0300-000014000000}" name="benzaldehido_total"/>
    <tableColumn id="21" xr3:uid="{00000000-0010-0000-0300-000015000000}" name="decanoato_de_etilo_total"/>
    <tableColumn id="22" xr3:uid="{00000000-0010-0000-0300-000016000000}" name="hexil_acetate_total"/>
    <tableColumn id="23" xr3:uid="{00000000-0010-0000-0300-000017000000}" name="isoamil_acetate_total"/>
    <tableColumn id="24" xr3:uid="{00000000-0010-0000-0300-000018000000}" name="octanoate_de_etilo_total"/>
    <tableColumn id="25" xr3:uid="{00000000-0010-0000-0300-000019000000}" name="phenylethylacetate_total"/>
    <tableColumn id="26" xr3:uid="{00000000-0010-0000-0300-00001A000000}" name="Ethyl_Acetate_total"/>
    <tableColumn id="27" xr3:uid="{00000000-0010-0000-0300-00001B000000}" name="Código ensayo"/>
    <tableColumn id="28" xr3:uid="{00000000-0010-0000-0300-00001C000000}" name="fecha_hora_original"/>
    <tableColumn id="29" xr3:uid="{00000000-0010-0000-0300-00001D000000}" name="fecha_hora_nota"/>
    <tableColumn id="30" xr3:uid="{00000000-0010-0000-0300-00001E000000}" name="base_t_origen"/>
    <tableColumn id="31" xr3:uid="{00000000-0010-0000-0300-00001F000000}" name="temperatura_fuente"/>
    <tableColumn id="32" xr3:uid="{00000000-0010-0000-0300-000020000000}" name="temperatura_evento_activo"/>
    <tableColumn id="33" xr3:uid="{00000000-0010-0000-0300-000021000000}" name="protocolo_inferido"/>
    <tableColumn id="34" xr3:uid="{00000000-0010-0000-0300-000022000000}" name="pulso_nut_evento"/>
    <tableColumn id="35" xr3:uid="{00000000-0010-0000-0300-000023000000}" name="pulso_nut_t_h"/>
    <tableColumn id="36" xr3:uid="{00000000-0010-0000-0300-000024000000}" name="pulso_nut_tipo"/>
    <tableColumn id="37" xr3:uid="{00000000-0010-0000-0300-000025000000}" name="Brix"/>
    <tableColumn id="38" xr3:uid="{00000000-0010-0000-0300-000026000000}" name="pH"/>
    <tableColumn id="39" xr3:uid="{00000000-0010-0000-0300-000027000000}" name="DO"/>
    <tableColumn id="40" xr3:uid="{00000000-0010-0000-0300-000028000000}" name="Oculyze Concentration"/>
    <tableColumn id="41" xr3:uid="{00000000-0010-0000-0300-000029000000}" name="Oculyze Budding"/>
    <tableColumn id="42" xr3:uid="{00000000-0010-0000-0300-00002A000000}" name="Y15 Glucosa-Fructosa"/>
    <tableColumn id="43" xr3:uid="{00000000-0010-0000-0300-00002B000000}" name="Y15 Acetico"/>
    <tableColumn id="44" xr3:uid="{00000000-0010-0000-0300-00002C000000}" name="Cf Alcolyzer (% v/v)"/>
    <tableColumn id="45" xr3:uid="{00000000-0010-0000-0300-00002D000000}" name="Cf Alcolyzer Real (% v/v)"/>
    <tableColumn id="46" xr3:uid="{00000000-0010-0000-0300-00002E000000}" name="Tipo muestra"/>
    <tableColumn id="47" xr3:uid="{00000000-0010-0000-0300-00002F000000}" name="Hito"/>
    <tableColumn id="48" xr3:uid="{00000000-0010-0000-0300-000030000000}" name="Matriz"/>
    <tableColumn id="49" xr3:uid="{00000000-0010-0000-0300-000031000000}" name="Volumen total (mL)"/>
    <tableColumn id="50" xr3:uid="{00000000-0010-0000-0300-000032000000}" name="Contenedores"/>
    <tableColumn id="51" xr3:uid="{00000000-0010-0000-0300-000033000000}" name="Análisis planificados"/>
    <tableColumn id="52" xr3:uid="{00000000-0010-0000-0300-000034000000}" name="Estado muestreo"/>
    <tableColumn id="53" xr3:uid="{00000000-0010-0000-0300-000035000000}" name="Peso recipiente (g)"/>
    <tableColumn id="54" xr3:uid="{00000000-0010-0000-0300-000036000000}" name="Extracto seco (g)"/>
    <tableColumn id="55" xr3:uid="{00000000-0010-0000-0300-000037000000}" name="GC-MS/MS MEF"/>
    <tableColumn id="56" xr3:uid="{00000000-0010-0000-0300-000038000000}" name="GC-MS/MS Cond"/>
    <tableColumn id="57" xr3:uid="{00000000-0010-0000-0300-000039000000}" name="Freezer"/>
    <tableColumn id="58" xr3:uid="{00000000-0010-0000-0300-00003A000000}" name="Caja"/>
    <tableColumn id="59" xr3:uid="{00000000-0010-0000-0300-00003B000000}" name="Posición"/>
    <tableColumn id="60" xr3:uid="{00000000-0010-0000-0300-00003C000000}" name="Aroma Vol GC (mL)"/>
    <tableColumn id="61" xr3:uid="{00000000-0010-0000-0300-00003D000000}" name="Aroma Dilución 1:X"/>
    <tableColumn id="62" xr3:uid="{00000000-0010-0000-0300-00003E000000}" name="Aroma GA muestra (% v/v)"/>
    <tableColumn id="63" xr3:uid="{00000000-0010-0000-0300-00003F000000}" name="Aroma EtOH objetivo (%)"/>
    <tableColumn id="64" xr3:uid="{00000000-0010-0000-0300-000040000000}" name="Aroma Alcohol HPLC 100% (uL)"/>
    <tableColumn id="65" xr3:uid="{00000000-0010-0000-0300-000041000000}" name="Aroma Vol muestra (µL)"/>
    <tableColumn id="66" xr3:uid="{00000000-0010-0000-0300-000042000000}" name="Temporada"/>
    <tableColumn id="67" xr3:uid="{00000000-0010-0000-0300-000043000000}" name="Proyecto"/>
    <tableColumn id="68" xr3:uid="{00000000-0010-0000-0300-000044000000}" name="Escala"/>
    <tableColumn id="69" xr3:uid="{00000000-0010-0000-0300-000045000000}" name="Lote"/>
    <tableColumn id="70" xr3:uid="{00000000-0010-0000-0300-000046000000}" name="Reactor/Estanque"/>
    <tableColumn id="71" xr3:uid="{00000000-0010-0000-0300-000047000000}" name="Condición"/>
    <tableColumn id="72" xr3:uid="{00000000-0010-0000-0300-000048000000}" name="Réplica"/>
    <tableColumn id="73" xr3:uid="{00000000-0010-0000-0300-000049000000}" name="Variedad"/>
    <tableColumn id="74" xr3:uid="{00000000-0010-0000-0300-00004A000000}" name="Levadura"/>
    <tableColumn id="75" xr3:uid="{00000000-0010-0000-0300-00004B000000}" name="Volumen inicial (L)"/>
    <tableColumn id="76" xr3:uid="{00000000-0010-0000-0300-00004C000000}" name="Objetivo específico"/>
    <tableColumn id="77" xr3:uid="{00000000-0010-0000-0300-00004D000000}" name="Observaciones ensay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ING26_LAB007" displayName="T_ING26_LAB007" ref="A1:BY15">
  <tableColumns count="77">
    <tableColumn id="1" xr3:uid="{00000000-0010-0000-0400-000001000000}" name="ID"/>
    <tableColumn id="2" xr3:uid="{00000000-0010-0000-0400-000002000000}" name="fecha_hora"/>
    <tableColumn id="3" xr3:uid="{00000000-0010-0000-0400-000003000000}" name="t"/>
    <tableColumn id="4" xr3:uid="{00000000-0010-0000-0400-000004000000}" name="temperatura"/>
    <tableColumn id="5" xr3:uid="{00000000-0010-0000-0400-000005000000}" name="densidad"/>
    <tableColumn id="6" xr3:uid="{00000000-0010-0000-0400-000006000000}" name="Viability"/>
    <tableColumn id="7" xr3:uid="{00000000-0010-0000-0400-000007000000}" name="Peso Seco"/>
    <tableColumn id="8" xr3:uid="{00000000-0010-0000-0400-000008000000}" name="GLUCOSE"/>
    <tableColumn id="9" xr3:uid="{00000000-0010-0000-0400-000009000000}" name="FRUCTOSE"/>
    <tableColumn id="10" xr3:uid="{00000000-0010-0000-0400-00000A000000}" name="PAN"/>
    <tableColumn id="11" xr3:uid="{00000000-0010-0000-0400-00000B000000}" name="AMMONIA"/>
    <tableColumn id="12" xr3:uid="{00000000-0010-0000-0400-00000C000000}" name="YAN"/>
    <tableColumn id="13" xr3:uid="{00000000-0010-0000-0400-00000D000000}" name="GLYCEROL"/>
    <tableColumn id="14" xr3:uid="{00000000-0010-0000-0400-00000E000000}" name="PYRUVIC ACID"/>
    <tableColumn id="15" xr3:uid="{00000000-0010-0000-0400-00000F000000}" name="PYRUVIC ACID2"/>
    <tableColumn id="16" xr3:uid="{00000000-0010-0000-0400-000010000000}" name="ACETALDEHIDO"/>
    <tableColumn id="17" xr3:uid="{00000000-0010-0000-0400-000011000000}" name="ETANOL"/>
    <tableColumn id="18" xr3:uid="{00000000-0010-0000-0400-000012000000}" name="pulso_nut"/>
    <tableColumn id="19" xr3:uid="{00000000-0010-0000-0400-000013000000}" name="bencil_alcohol_total"/>
    <tableColumn id="20" xr3:uid="{00000000-0010-0000-0400-000014000000}" name="benzaldehido_total"/>
    <tableColumn id="21" xr3:uid="{00000000-0010-0000-0400-000015000000}" name="decanoato_de_etilo_total"/>
    <tableColumn id="22" xr3:uid="{00000000-0010-0000-0400-000016000000}" name="hexil_acetate_total"/>
    <tableColumn id="23" xr3:uid="{00000000-0010-0000-0400-000017000000}" name="isoamil_acetate_total"/>
    <tableColumn id="24" xr3:uid="{00000000-0010-0000-0400-000018000000}" name="octanoate_de_etilo_total"/>
    <tableColumn id="25" xr3:uid="{00000000-0010-0000-0400-000019000000}" name="phenylethylacetate_total"/>
    <tableColumn id="26" xr3:uid="{00000000-0010-0000-0400-00001A000000}" name="Ethyl_Acetate_total"/>
    <tableColumn id="27" xr3:uid="{00000000-0010-0000-0400-00001B000000}" name="Código ensayo"/>
    <tableColumn id="28" xr3:uid="{00000000-0010-0000-0400-00001C000000}" name="fecha_hora_original"/>
    <tableColumn id="29" xr3:uid="{00000000-0010-0000-0400-00001D000000}" name="fecha_hora_nota"/>
    <tableColumn id="30" xr3:uid="{00000000-0010-0000-0400-00001E000000}" name="base_t_origen"/>
    <tableColumn id="31" xr3:uid="{00000000-0010-0000-0400-00001F000000}" name="temperatura_fuente"/>
    <tableColumn id="32" xr3:uid="{00000000-0010-0000-0400-000020000000}" name="temperatura_evento_activo"/>
    <tableColumn id="33" xr3:uid="{00000000-0010-0000-0400-000021000000}" name="protocolo_inferido"/>
    <tableColumn id="34" xr3:uid="{00000000-0010-0000-0400-000022000000}" name="pulso_nut_evento"/>
    <tableColumn id="35" xr3:uid="{00000000-0010-0000-0400-000023000000}" name="pulso_nut_t_h"/>
    <tableColumn id="36" xr3:uid="{00000000-0010-0000-0400-000024000000}" name="pulso_nut_tipo"/>
    <tableColumn id="37" xr3:uid="{00000000-0010-0000-0400-000025000000}" name="Brix"/>
    <tableColumn id="38" xr3:uid="{00000000-0010-0000-0400-000026000000}" name="pH"/>
    <tableColumn id="39" xr3:uid="{00000000-0010-0000-0400-000027000000}" name="DO"/>
    <tableColumn id="40" xr3:uid="{00000000-0010-0000-0400-000028000000}" name="Oculyze Concentration"/>
    <tableColumn id="41" xr3:uid="{00000000-0010-0000-0400-000029000000}" name="Oculyze Budding"/>
    <tableColumn id="42" xr3:uid="{00000000-0010-0000-0400-00002A000000}" name="Y15 Glucosa-Fructosa"/>
    <tableColumn id="43" xr3:uid="{00000000-0010-0000-0400-00002B000000}" name="Y15 Acetico"/>
    <tableColumn id="44" xr3:uid="{00000000-0010-0000-0400-00002C000000}" name="Cf Alcolyzer (% v/v)"/>
    <tableColumn id="45" xr3:uid="{00000000-0010-0000-0400-00002D000000}" name="Cf Alcolyzer Real (% v/v)"/>
    <tableColumn id="46" xr3:uid="{00000000-0010-0000-0400-00002E000000}" name="Tipo muestra"/>
    <tableColumn id="47" xr3:uid="{00000000-0010-0000-0400-00002F000000}" name="Hito"/>
    <tableColumn id="48" xr3:uid="{00000000-0010-0000-0400-000030000000}" name="Matriz"/>
    <tableColumn id="49" xr3:uid="{00000000-0010-0000-0400-000031000000}" name="Volumen total (mL)"/>
    <tableColumn id="50" xr3:uid="{00000000-0010-0000-0400-000032000000}" name="Contenedores"/>
    <tableColumn id="51" xr3:uid="{00000000-0010-0000-0400-000033000000}" name="Análisis planificados"/>
    <tableColumn id="52" xr3:uid="{00000000-0010-0000-0400-000034000000}" name="Estado muestreo"/>
    <tableColumn id="53" xr3:uid="{00000000-0010-0000-0400-000035000000}" name="Peso recipiente (g)"/>
    <tableColumn id="54" xr3:uid="{00000000-0010-0000-0400-000036000000}" name="Extracto seco (g)"/>
    <tableColumn id="55" xr3:uid="{00000000-0010-0000-0400-000037000000}" name="GC-MS/MS MEF"/>
    <tableColumn id="56" xr3:uid="{00000000-0010-0000-0400-000038000000}" name="GC-MS/MS Cond"/>
    <tableColumn id="57" xr3:uid="{00000000-0010-0000-0400-000039000000}" name="Freezer"/>
    <tableColumn id="58" xr3:uid="{00000000-0010-0000-0400-00003A000000}" name="Caja"/>
    <tableColumn id="59" xr3:uid="{00000000-0010-0000-0400-00003B000000}" name="Posición"/>
    <tableColumn id="60" xr3:uid="{00000000-0010-0000-0400-00003C000000}" name="Aroma Vol GC (mL)"/>
    <tableColumn id="61" xr3:uid="{00000000-0010-0000-0400-00003D000000}" name="Aroma Dilución 1:X"/>
    <tableColumn id="62" xr3:uid="{00000000-0010-0000-0400-00003E000000}" name="Aroma GA muestra (% v/v)"/>
    <tableColumn id="63" xr3:uid="{00000000-0010-0000-0400-00003F000000}" name="Aroma EtOH objetivo (%)"/>
    <tableColumn id="64" xr3:uid="{00000000-0010-0000-0400-000040000000}" name="Aroma Alcohol HPLC 100% (uL)"/>
    <tableColumn id="65" xr3:uid="{00000000-0010-0000-0400-000041000000}" name="Aroma Vol muestra (µL)"/>
    <tableColumn id="66" xr3:uid="{00000000-0010-0000-0400-000042000000}" name="Temporada"/>
    <tableColumn id="67" xr3:uid="{00000000-0010-0000-0400-000043000000}" name="Proyecto"/>
    <tableColumn id="68" xr3:uid="{00000000-0010-0000-0400-000044000000}" name="Escala"/>
    <tableColumn id="69" xr3:uid="{00000000-0010-0000-0400-000045000000}" name="Lote"/>
    <tableColumn id="70" xr3:uid="{00000000-0010-0000-0400-000046000000}" name="Reactor/Estanque"/>
    <tableColumn id="71" xr3:uid="{00000000-0010-0000-0400-000047000000}" name="Condición"/>
    <tableColumn id="72" xr3:uid="{00000000-0010-0000-0400-000048000000}" name="Réplica"/>
    <tableColumn id="73" xr3:uid="{00000000-0010-0000-0400-000049000000}" name="Variedad"/>
    <tableColumn id="74" xr3:uid="{00000000-0010-0000-0400-00004A000000}" name="Levadura"/>
    <tableColumn id="75" xr3:uid="{00000000-0010-0000-0400-00004B000000}" name="Volumen inicial (L)"/>
    <tableColumn id="76" xr3:uid="{00000000-0010-0000-0400-00004C000000}" name="Objetivo específico"/>
    <tableColumn id="77" xr3:uid="{00000000-0010-0000-0400-00004D000000}" name="Observaciones ensay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ING26_LAB008" displayName="T_ING26_LAB008" ref="A1:BY15">
  <tableColumns count="77">
    <tableColumn id="1" xr3:uid="{00000000-0010-0000-0500-000001000000}" name="ID"/>
    <tableColumn id="2" xr3:uid="{00000000-0010-0000-0500-000002000000}" name="fecha_hora"/>
    <tableColumn id="3" xr3:uid="{00000000-0010-0000-0500-000003000000}" name="t"/>
    <tableColumn id="4" xr3:uid="{00000000-0010-0000-0500-000004000000}" name="temperatura"/>
    <tableColumn id="5" xr3:uid="{00000000-0010-0000-0500-000005000000}" name="densidad"/>
    <tableColumn id="6" xr3:uid="{00000000-0010-0000-0500-000006000000}" name="Viability"/>
    <tableColumn id="7" xr3:uid="{00000000-0010-0000-0500-000007000000}" name="Peso Seco"/>
    <tableColumn id="8" xr3:uid="{00000000-0010-0000-0500-000008000000}" name="GLUCOSE"/>
    <tableColumn id="9" xr3:uid="{00000000-0010-0000-0500-000009000000}" name="FRUCTOSE"/>
    <tableColumn id="10" xr3:uid="{00000000-0010-0000-0500-00000A000000}" name="PAN"/>
    <tableColumn id="11" xr3:uid="{00000000-0010-0000-0500-00000B000000}" name="AMMONIA"/>
    <tableColumn id="12" xr3:uid="{00000000-0010-0000-0500-00000C000000}" name="YAN"/>
    <tableColumn id="13" xr3:uid="{00000000-0010-0000-0500-00000D000000}" name="GLYCEROL"/>
    <tableColumn id="14" xr3:uid="{00000000-0010-0000-0500-00000E000000}" name="PYRUVIC ACID"/>
    <tableColumn id="15" xr3:uid="{00000000-0010-0000-0500-00000F000000}" name="PYRUVIC ACID2"/>
    <tableColumn id="16" xr3:uid="{00000000-0010-0000-0500-000010000000}" name="ACETALDEHIDO"/>
    <tableColumn id="17" xr3:uid="{00000000-0010-0000-0500-000011000000}" name="ETANOL"/>
    <tableColumn id="18" xr3:uid="{00000000-0010-0000-0500-000012000000}" name="pulso_nut"/>
    <tableColumn id="19" xr3:uid="{00000000-0010-0000-0500-000013000000}" name="bencil_alcohol_total"/>
    <tableColumn id="20" xr3:uid="{00000000-0010-0000-0500-000014000000}" name="benzaldehido_total"/>
    <tableColumn id="21" xr3:uid="{00000000-0010-0000-0500-000015000000}" name="decanoato_de_etilo_total"/>
    <tableColumn id="22" xr3:uid="{00000000-0010-0000-0500-000016000000}" name="hexil_acetate_total"/>
    <tableColumn id="23" xr3:uid="{00000000-0010-0000-0500-000017000000}" name="isoamil_acetate_total"/>
    <tableColumn id="24" xr3:uid="{00000000-0010-0000-0500-000018000000}" name="octanoate_de_etilo_total"/>
    <tableColumn id="25" xr3:uid="{00000000-0010-0000-0500-000019000000}" name="phenylethylacetate_total"/>
    <tableColumn id="26" xr3:uid="{00000000-0010-0000-0500-00001A000000}" name="Ethyl_Acetate_total"/>
    <tableColumn id="27" xr3:uid="{00000000-0010-0000-0500-00001B000000}" name="Código ensayo"/>
    <tableColumn id="28" xr3:uid="{00000000-0010-0000-0500-00001C000000}" name="fecha_hora_original"/>
    <tableColumn id="29" xr3:uid="{00000000-0010-0000-0500-00001D000000}" name="fecha_hora_nota"/>
    <tableColumn id="30" xr3:uid="{00000000-0010-0000-0500-00001E000000}" name="base_t_origen"/>
    <tableColumn id="31" xr3:uid="{00000000-0010-0000-0500-00001F000000}" name="temperatura_fuente"/>
    <tableColumn id="32" xr3:uid="{00000000-0010-0000-0500-000020000000}" name="temperatura_evento_activo"/>
    <tableColumn id="33" xr3:uid="{00000000-0010-0000-0500-000021000000}" name="protocolo_inferido"/>
    <tableColumn id="34" xr3:uid="{00000000-0010-0000-0500-000022000000}" name="pulso_nut_evento"/>
    <tableColumn id="35" xr3:uid="{00000000-0010-0000-0500-000023000000}" name="pulso_nut_t_h"/>
    <tableColumn id="36" xr3:uid="{00000000-0010-0000-0500-000024000000}" name="pulso_nut_tipo"/>
    <tableColumn id="37" xr3:uid="{00000000-0010-0000-0500-000025000000}" name="Brix"/>
    <tableColumn id="38" xr3:uid="{00000000-0010-0000-0500-000026000000}" name="pH"/>
    <tableColumn id="39" xr3:uid="{00000000-0010-0000-0500-000027000000}" name="DO"/>
    <tableColumn id="40" xr3:uid="{00000000-0010-0000-0500-000028000000}" name="Oculyze Concentration"/>
    <tableColumn id="41" xr3:uid="{00000000-0010-0000-0500-000029000000}" name="Oculyze Budding"/>
    <tableColumn id="42" xr3:uid="{00000000-0010-0000-0500-00002A000000}" name="Y15 Glucosa-Fructosa"/>
    <tableColumn id="43" xr3:uid="{00000000-0010-0000-0500-00002B000000}" name="Y15 Acetico"/>
    <tableColumn id="44" xr3:uid="{00000000-0010-0000-0500-00002C000000}" name="Cf Alcolyzer (% v/v)"/>
    <tableColumn id="45" xr3:uid="{00000000-0010-0000-0500-00002D000000}" name="Cf Alcolyzer Real (% v/v)"/>
    <tableColumn id="46" xr3:uid="{00000000-0010-0000-0500-00002E000000}" name="Tipo muestra"/>
    <tableColumn id="47" xr3:uid="{00000000-0010-0000-0500-00002F000000}" name="Hito"/>
    <tableColumn id="48" xr3:uid="{00000000-0010-0000-0500-000030000000}" name="Matriz"/>
    <tableColumn id="49" xr3:uid="{00000000-0010-0000-0500-000031000000}" name="Volumen total (mL)"/>
    <tableColumn id="50" xr3:uid="{00000000-0010-0000-0500-000032000000}" name="Contenedores"/>
    <tableColumn id="51" xr3:uid="{00000000-0010-0000-0500-000033000000}" name="Análisis planificados"/>
    <tableColumn id="52" xr3:uid="{00000000-0010-0000-0500-000034000000}" name="Estado muestreo"/>
    <tableColumn id="53" xr3:uid="{00000000-0010-0000-0500-000035000000}" name="Peso recipiente (g)"/>
    <tableColumn id="54" xr3:uid="{00000000-0010-0000-0500-000036000000}" name="Extracto seco (g)"/>
    <tableColumn id="55" xr3:uid="{00000000-0010-0000-0500-000037000000}" name="GC-MS/MS MEF"/>
    <tableColumn id="56" xr3:uid="{00000000-0010-0000-0500-000038000000}" name="GC-MS/MS Cond"/>
    <tableColumn id="57" xr3:uid="{00000000-0010-0000-0500-000039000000}" name="Freezer"/>
    <tableColumn id="58" xr3:uid="{00000000-0010-0000-0500-00003A000000}" name="Caja"/>
    <tableColumn id="59" xr3:uid="{00000000-0010-0000-0500-00003B000000}" name="Posición"/>
    <tableColumn id="60" xr3:uid="{00000000-0010-0000-0500-00003C000000}" name="Aroma Vol GC (mL)"/>
    <tableColumn id="61" xr3:uid="{00000000-0010-0000-0500-00003D000000}" name="Aroma Dilución 1:X"/>
    <tableColumn id="62" xr3:uid="{00000000-0010-0000-0500-00003E000000}" name="Aroma GA muestra (% v/v)"/>
    <tableColumn id="63" xr3:uid="{00000000-0010-0000-0500-00003F000000}" name="Aroma EtOH objetivo (%)"/>
    <tableColumn id="64" xr3:uid="{00000000-0010-0000-0500-000040000000}" name="Aroma Alcohol HPLC 100% (uL)"/>
    <tableColumn id="65" xr3:uid="{00000000-0010-0000-0500-000041000000}" name="Aroma Vol muestra (µL)"/>
    <tableColumn id="66" xr3:uid="{00000000-0010-0000-0500-000042000000}" name="Temporada"/>
    <tableColumn id="67" xr3:uid="{00000000-0010-0000-0500-000043000000}" name="Proyecto"/>
    <tableColumn id="68" xr3:uid="{00000000-0010-0000-0500-000044000000}" name="Escala"/>
    <tableColumn id="69" xr3:uid="{00000000-0010-0000-0500-000045000000}" name="Lote"/>
    <tableColumn id="70" xr3:uid="{00000000-0010-0000-0500-000046000000}" name="Reactor/Estanque"/>
    <tableColumn id="71" xr3:uid="{00000000-0010-0000-0500-000047000000}" name="Condición"/>
    <tableColumn id="72" xr3:uid="{00000000-0010-0000-0500-000048000000}" name="Réplica"/>
    <tableColumn id="73" xr3:uid="{00000000-0010-0000-0500-000049000000}" name="Variedad"/>
    <tableColumn id="74" xr3:uid="{00000000-0010-0000-0500-00004A000000}" name="Levadura"/>
    <tableColumn id="75" xr3:uid="{00000000-0010-0000-0500-00004B000000}" name="Volumen inicial (L)"/>
    <tableColumn id="76" xr3:uid="{00000000-0010-0000-0500-00004C000000}" name="Objetivo específico"/>
    <tableColumn id="77" xr3:uid="{00000000-0010-0000-0500-00004D000000}" name="Observaciones ensay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ING26_LAB009" displayName="T_ING26_LAB009" ref="A1:BY14">
  <tableColumns count="77">
    <tableColumn id="1" xr3:uid="{00000000-0010-0000-0600-000001000000}" name="ID"/>
    <tableColumn id="2" xr3:uid="{00000000-0010-0000-0600-000002000000}" name="fecha_hora"/>
    <tableColumn id="3" xr3:uid="{00000000-0010-0000-0600-000003000000}" name="t"/>
    <tableColumn id="4" xr3:uid="{00000000-0010-0000-0600-000004000000}" name="temperatura"/>
    <tableColumn id="5" xr3:uid="{00000000-0010-0000-0600-000005000000}" name="densidad"/>
    <tableColumn id="6" xr3:uid="{00000000-0010-0000-0600-000006000000}" name="Viability"/>
    <tableColumn id="7" xr3:uid="{00000000-0010-0000-0600-000007000000}" name="Peso Seco"/>
    <tableColumn id="8" xr3:uid="{00000000-0010-0000-0600-000008000000}" name="GLUCOSE"/>
    <tableColumn id="9" xr3:uid="{00000000-0010-0000-0600-000009000000}" name="FRUCTOSE"/>
    <tableColumn id="10" xr3:uid="{00000000-0010-0000-0600-00000A000000}" name="PAN"/>
    <tableColumn id="11" xr3:uid="{00000000-0010-0000-0600-00000B000000}" name="AMMONIA"/>
    <tableColumn id="12" xr3:uid="{00000000-0010-0000-0600-00000C000000}" name="YAN"/>
    <tableColumn id="13" xr3:uid="{00000000-0010-0000-0600-00000D000000}" name="GLYCEROL"/>
    <tableColumn id="14" xr3:uid="{00000000-0010-0000-0600-00000E000000}" name="PYRUVIC ACID"/>
    <tableColumn id="15" xr3:uid="{00000000-0010-0000-0600-00000F000000}" name="PYRUVIC ACID2"/>
    <tableColumn id="16" xr3:uid="{00000000-0010-0000-0600-000010000000}" name="ACETALDEHIDO"/>
    <tableColumn id="17" xr3:uid="{00000000-0010-0000-0600-000011000000}" name="ETANOL"/>
    <tableColumn id="18" xr3:uid="{00000000-0010-0000-0600-000012000000}" name="pulso_nut"/>
    <tableColumn id="19" xr3:uid="{00000000-0010-0000-0600-000013000000}" name="bencil_alcohol_total"/>
    <tableColumn id="20" xr3:uid="{00000000-0010-0000-0600-000014000000}" name="benzaldehido_total"/>
    <tableColumn id="21" xr3:uid="{00000000-0010-0000-0600-000015000000}" name="decanoato_de_etilo_total"/>
    <tableColumn id="22" xr3:uid="{00000000-0010-0000-0600-000016000000}" name="hexil_acetate_total"/>
    <tableColumn id="23" xr3:uid="{00000000-0010-0000-0600-000017000000}" name="isoamil_acetate_total"/>
    <tableColumn id="24" xr3:uid="{00000000-0010-0000-0600-000018000000}" name="octanoate_de_etilo_total"/>
    <tableColumn id="25" xr3:uid="{00000000-0010-0000-0600-000019000000}" name="phenylethylacetate_total"/>
    <tableColumn id="26" xr3:uid="{00000000-0010-0000-0600-00001A000000}" name="Ethyl_Acetate_total"/>
    <tableColumn id="27" xr3:uid="{00000000-0010-0000-0600-00001B000000}" name="Código ensayo"/>
    <tableColumn id="28" xr3:uid="{00000000-0010-0000-0600-00001C000000}" name="fecha_hora_original"/>
    <tableColumn id="29" xr3:uid="{00000000-0010-0000-0600-00001D000000}" name="fecha_hora_nota"/>
    <tableColumn id="30" xr3:uid="{00000000-0010-0000-0600-00001E000000}" name="base_t_origen"/>
    <tableColumn id="31" xr3:uid="{00000000-0010-0000-0600-00001F000000}" name="temperatura_fuente"/>
    <tableColumn id="32" xr3:uid="{00000000-0010-0000-0600-000020000000}" name="temperatura_evento_activo"/>
    <tableColumn id="33" xr3:uid="{00000000-0010-0000-0600-000021000000}" name="protocolo_inferido"/>
    <tableColumn id="34" xr3:uid="{00000000-0010-0000-0600-000022000000}" name="pulso_nut_evento"/>
    <tableColumn id="35" xr3:uid="{00000000-0010-0000-0600-000023000000}" name="pulso_nut_t_h"/>
    <tableColumn id="36" xr3:uid="{00000000-0010-0000-0600-000024000000}" name="pulso_nut_tipo"/>
    <tableColumn id="37" xr3:uid="{00000000-0010-0000-0600-000025000000}" name="Brix"/>
    <tableColumn id="38" xr3:uid="{00000000-0010-0000-0600-000026000000}" name="pH"/>
    <tableColumn id="39" xr3:uid="{00000000-0010-0000-0600-000027000000}" name="DO"/>
    <tableColumn id="40" xr3:uid="{00000000-0010-0000-0600-000028000000}" name="Oculyze Concentration"/>
    <tableColumn id="41" xr3:uid="{00000000-0010-0000-0600-000029000000}" name="Oculyze Budding"/>
    <tableColumn id="42" xr3:uid="{00000000-0010-0000-0600-00002A000000}" name="Y15 Glucosa-Fructosa"/>
    <tableColumn id="43" xr3:uid="{00000000-0010-0000-0600-00002B000000}" name="Y15 Acetico"/>
    <tableColumn id="44" xr3:uid="{00000000-0010-0000-0600-00002C000000}" name="Cf Alcolyzer (% v/v)"/>
    <tableColumn id="45" xr3:uid="{00000000-0010-0000-0600-00002D000000}" name="Cf Alcolyzer Real (% v/v)"/>
    <tableColumn id="46" xr3:uid="{00000000-0010-0000-0600-00002E000000}" name="Tipo muestra"/>
    <tableColumn id="47" xr3:uid="{00000000-0010-0000-0600-00002F000000}" name="Hito"/>
    <tableColumn id="48" xr3:uid="{00000000-0010-0000-0600-000030000000}" name="Matriz"/>
    <tableColumn id="49" xr3:uid="{00000000-0010-0000-0600-000031000000}" name="Volumen total (mL)"/>
    <tableColumn id="50" xr3:uid="{00000000-0010-0000-0600-000032000000}" name="Contenedores"/>
    <tableColumn id="51" xr3:uid="{00000000-0010-0000-0600-000033000000}" name="Análisis planificados"/>
    <tableColumn id="52" xr3:uid="{00000000-0010-0000-0600-000034000000}" name="Estado muestreo"/>
    <tableColumn id="53" xr3:uid="{00000000-0010-0000-0600-000035000000}" name="Peso recipiente (g)"/>
    <tableColumn id="54" xr3:uid="{00000000-0010-0000-0600-000036000000}" name="Extracto seco (g)"/>
    <tableColumn id="55" xr3:uid="{00000000-0010-0000-0600-000037000000}" name="GC-MS/MS MEF"/>
    <tableColumn id="56" xr3:uid="{00000000-0010-0000-0600-000038000000}" name="GC-MS/MS Cond"/>
    <tableColumn id="57" xr3:uid="{00000000-0010-0000-0600-000039000000}" name="Freezer"/>
    <tableColumn id="58" xr3:uid="{00000000-0010-0000-0600-00003A000000}" name="Caja"/>
    <tableColumn id="59" xr3:uid="{00000000-0010-0000-0600-00003B000000}" name="Posición"/>
    <tableColumn id="60" xr3:uid="{00000000-0010-0000-0600-00003C000000}" name="Aroma Vol GC (mL)"/>
    <tableColumn id="61" xr3:uid="{00000000-0010-0000-0600-00003D000000}" name="Aroma Dilución 1:X"/>
    <tableColumn id="62" xr3:uid="{00000000-0010-0000-0600-00003E000000}" name="Aroma GA muestra (% v/v)"/>
    <tableColumn id="63" xr3:uid="{00000000-0010-0000-0600-00003F000000}" name="Aroma EtOH objetivo (%)"/>
    <tableColumn id="64" xr3:uid="{00000000-0010-0000-0600-000040000000}" name="Aroma Alcohol HPLC 100% (uL)"/>
    <tableColumn id="65" xr3:uid="{00000000-0010-0000-0600-000041000000}" name="Aroma Vol muestra (µL)"/>
    <tableColumn id="66" xr3:uid="{00000000-0010-0000-0600-000042000000}" name="Temporada"/>
    <tableColumn id="67" xr3:uid="{00000000-0010-0000-0600-000043000000}" name="Proyecto"/>
    <tableColumn id="68" xr3:uid="{00000000-0010-0000-0600-000044000000}" name="Escala"/>
    <tableColumn id="69" xr3:uid="{00000000-0010-0000-0600-000045000000}" name="Lote"/>
    <tableColumn id="70" xr3:uid="{00000000-0010-0000-0600-000046000000}" name="Reactor/Estanque"/>
    <tableColumn id="71" xr3:uid="{00000000-0010-0000-0600-000047000000}" name="Condición"/>
    <tableColumn id="72" xr3:uid="{00000000-0010-0000-0600-000048000000}" name="Réplica"/>
    <tableColumn id="73" xr3:uid="{00000000-0010-0000-0600-000049000000}" name="Variedad"/>
    <tableColumn id="74" xr3:uid="{00000000-0010-0000-0600-00004A000000}" name="Levadura"/>
    <tableColumn id="75" xr3:uid="{00000000-0010-0000-0600-00004B000000}" name="Volumen inicial (L)"/>
    <tableColumn id="76" xr3:uid="{00000000-0010-0000-0600-00004C000000}" name="Objetivo específico"/>
    <tableColumn id="77" xr3:uid="{00000000-0010-0000-0600-00004D000000}" name="Observaciones ensay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ING26_LAB010" displayName="T_ING26_LAB010" ref="A1:BY11">
  <tableColumns count="77">
    <tableColumn id="1" xr3:uid="{00000000-0010-0000-0700-000001000000}" name="ID"/>
    <tableColumn id="2" xr3:uid="{00000000-0010-0000-0700-000002000000}" name="fecha_hora"/>
    <tableColumn id="3" xr3:uid="{00000000-0010-0000-0700-000003000000}" name="t"/>
    <tableColumn id="4" xr3:uid="{00000000-0010-0000-0700-000004000000}" name="temperatura"/>
    <tableColumn id="5" xr3:uid="{00000000-0010-0000-0700-000005000000}" name="densidad"/>
    <tableColumn id="6" xr3:uid="{00000000-0010-0000-0700-000006000000}" name="Viability"/>
    <tableColumn id="7" xr3:uid="{00000000-0010-0000-0700-000007000000}" name="Peso Seco"/>
    <tableColumn id="8" xr3:uid="{00000000-0010-0000-0700-000008000000}" name="GLUCOSE"/>
    <tableColumn id="9" xr3:uid="{00000000-0010-0000-0700-000009000000}" name="FRUCTOSE"/>
    <tableColumn id="10" xr3:uid="{00000000-0010-0000-0700-00000A000000}" name="PAN"/>
    <tableColumn id="11" xr3:uid="{00000000-0010-0000-0700-00000B000000}" name="AMMONIA"/>
    <tableColumn id="12" xr3:uid="{00000000-0010-0000-0700-00000C000000}" name="YAN"/>
    <tableColumn id="13" xr3:uid="{00000000-0010-0000-0700-00000D000000}" name="GLYCEROL"/>
    <tableColumn id="14" xr3:uid="{00000000-0010-0000-0700-00000E000000}" name="PYRUVIC ACID"/>
    <tableColumn id="15" xr3:uid="{00000000-0010-0000-0700-00000F000000}" name="PYRUVIC ACID2"/>
    <tableColumn id="16" xr3:uid="{00000000-0010-0000-0700-000010000000}" name="ACETALDEHIDO"/>
    <tableColumn id="17" xr3:uid="{00000000-0010-0000-0700-000011000000}" name="ETANOL"/>
    <tableColumn id="18" xr3:uid="{00000000-0010-0000-0700-000012000000}" name="pulso_nut"/>
    <tableColumn id="19" xr3:uid="{00000000-0010-0000-0700-000013000000}" name="bencil_alcohol_total"/>
    <tableColumn id="20" xr3:uid="{00000000-0010-0000-0700-000014000000}" name="benzaldehido_total"/>
    <tableColumn id="21" xr3:uid="{00000000-0010-0000-0700-000015000000}" name="decanoato_de_etilo_total"/>
    <tableColumn id="22" xr3:uid="{00000000-0010-0000-0700-000016000000}" name="hexil_acetate_total"/>
    <tableColumn id="23" xr3:uid="{00000000-0010-0000-0700-000017000000}" name="isoamil_acetate_total"/>
    <tableColumn id="24" xr3:uid="{00000000-0010-0000-0700-000018000000}" name="octanoate_de_etilo_total"/>
    <tableColumn id="25" xr3:uid="{00000000-0010-0000-0700-000019000000}" name="phenylethylacetate_total"/>
    <tableColumn id="26" xr3:uid="{00000000-0010-0000-0700-00001A000000}" name="Ethyl_Acetate_total"/>
    <tableColumn id="27" xr3:uid="{00000000-0010-0000-0700-00001B000000}" name="Código ensayo"/>
    <tableColumn id="28" xr3:uid="{00000000-0010-0000-0700-00001C000000}" name="fecha_hora_original"/>
    <tableColumn id="29" xr3:uid="{00000000-0010-0000-0700-00001D000000}" name="fecha_hora_nota"/>
    <tableColumn id="30" xr3:uid="{00000000-0010-0000-0700-00001E000000}" name="base_t_origen"/>
    <tableColumn id="31" xr3:uid="{00000000-0010-0000-0700-00001F000000}" name="temperatura_fuente"/>
    <tableColumn id="32" xr3:uid="{00000000-0010-0000-0700-000020000000}" name="temperatura_evento_activo"/>
    <tableColumn id="33" xr3:uid="{00000000-0010-0000-0700-000021000000}" name="protocolo_inferido"/>
    <tableColumn id="34" xr3:uid="{00000000-0010-0000-0700-000022000000}" name="pulso_nut_evento"/>
    <tableColumn id="35" xr3:uid="{00000000-0010-0000-0700-000023000000}" name="pulso_nut_t_h"/>
    <tableColumn id="36" xr3:uid="{00000000-0010-0000-0700-000024000000}" name="pulso_nut_tipo"/>
    <tableColumn id="37" xr3:uid="{00000000-0010-0000-0700-000025000000}" name="Brix"/>
    <tableColumn id="38" xr3:uid="{00000000-0010-0000-0700-000026000000}" name="pH"/>
    <tableColumn id="39" xr3:uid="{00000000-0010-0000-0700-000027000000}" name="DO"/>
    <tableColumn id="40" xr3:uid="{00000000-0010-0000-0700-000028000000}" name="Oculyze Concentration"/>
    <tableColumn id="41" xr3:uid="{00000000-0010-0000-0700-000029000000}" name="Oculyze Budding"/>
    <tableColumn id="42" xr3:uid="{00000000-0010-0000-0700-00002A000000}" name="Y15 Glucosa-Fructosa"/>
    <tableColumn id="43" xr3:uid="{00000000-0010-0000-0700-00002B000000}" name="Y15 Acetico"/>
    <tableColumn id="44" xr3:uid="{00000000-0010-0000-0700-00002C000000}" name="Cf Alcolyzer (% v/v)"/>
    <tableColumn id="45" xr3:uid="{00000000-0010-0000-0700-00002D000000}" name="Cf Alcolyzer Real (% v/v)"/>
    <tableColumn id="46" xr3:uid="{00000000-0010-0000-0700-00002E000000}" name="Tipo muestra"/>
    <tableColumn id="47" xr3:uid="{00000000-0010-0000-0700-00002F000000}" name="Hito"/>
    <tableColumn id="48" xr3:uid="{00000000-0010-0000-0700-000030000000}" name="Matriz"/>
    <tableColumn id="49" xr3:uid="{00000000-0010-0000-0700-000031000000}" name="Volumen total (mL)"/>
    <tableColumn id="50" xr3:uid="{00000000-0010-0000-0700-000032000000}" name="Contenedores"/>
    <tableColumn id="51" xr3:uid="{00000000-0010-0000-0700-000033000000}" name="Análisis planificados"/>
    <tableColumn id="52" xr3:uid="{00000000-0010-0000-0700-000034000000}" name="Estado muestreo"/>
    <tableColumn id="53" xr3:uid="{00000000-0010-0000-0700-000035000000}" name="Peso recipiente (g)"/>
    <tableColumn id="54" xr3:uid="{00000000-0010-0000-0700-000036000000}" name="Extracto seco (g)"/>
    <tableColumn id="55" xr3:uid="{00000000-0010-0000-0700-000037000000}" name="GC-MS/MS MEF"/>
    <tableColumn id="56" xr3:uid="{00000000-0010-0000-0700-000038000000}" name="GC-MS/MS Cond"/>
    <tableColumn id="57" xr3:uid="{00000000-0010-0000-0700-000039000000}" name="Freezer"/>
    <tableColumn id="58" xr3:uid="{00000000-0010-0000-0700-00003A000000}" name="Caja"/>
    <tableColumn id="59" xr3:uid="{00000000-0010-0000-0700-00003B000000}" name="Posición"/>
    <tableColumn id="60" xr3:uid="{00000000-0010-0000-0700-00003C000000}" name="Aroma Vol GC (mL)"/>
    <tableColumn id="61" xr3:uid="{00000000-0010-0000-0700-00003D000000}" name="Aroma Dilución 1:X"/>
    <tableColumn id="62" xr3:uid="{00000000-0010-0000-0700-00003E000000}" name="Aroma GA muestra (% v/v)"/>
    <tableColumn id="63" xr3:uid="{00000000-0010-0000-0700-00003F000000}" name="Aroma EtOH objetivo (%)"/>
    <tableColumn id="64" xr3:uid="{00000000-0010-0000-0700-000040000000}" name="Aroma Alcohol HPLC 100% (uL)"/>
    <tableColumn id="65" xr3:uid="{00000000-0010-0000-0700-000041000000}" name="Aroma Vol muestra (µL)"/>
    <tableColumn id="66" xr3:uid="{00000000-0010-0000-0700-000042000000}" name="Temporada"/>
    <tableColumn id="67" xr3:uid="{00000000-0010-0000-0700-000043000000}" name="Proyecto"/>
    <tableColumn id="68" xr3:uid="{00000000-0010-0000-0700-000044000000}" name="Escala"/>
    <tableColumn id="69" xr3:uid="{00000000-0010-0000-0700-000045000000}" name="Lote"/>
    <tableColumn id="70" xr3:uid="{00000000-0010-0000-0700-000046000000}" name="Reactor/Estanque"/>
    <tableColumn id="71" xr3:uid="{00000000-0010-0000-0700-000047000000}" name="Condición"/>
    <tableColumn id="72" xr3:uid="{00000000-0010-0000-0700-000048000000}" name="Réplica"/>
    <tableColumn id="73" xr3:uid="{00000000-0010-0000-0700-000049000000}" name="Variedad"/>
    <tableColumn id="74" xr3:uid="{00000000-0010-0000-0700-00004A000000}" name="Levadura"/>
    <tableColumn id="75" xr3:uid="{00000000-0010-0000-0700-00004B000000}" name="Volumen inicial (L)"/>
    <tableColumn id="76" xr3:uid="{00000000-0010-0000-0700-00004C000000}" name="Objetivo específico"/>
    <tableColumn id="77" xr3:uid="{00000000-0010-0000-0700-00004D000000}" name="Observaciones ensay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ING26_LAB011" displayName="T_ING26_LAB011" ref="A1:BY10">
  <tableColumns count="77">
    <tableColumn id="1" xr3:uid="{00000000-0010-0000-0800-000001000000}" name="ID"/>
    <tableColumn id="2" xr3:uid="{00000000-0010-0000-0800-000002000000}" name="fecha_hora"/>
    <tableColumn id="3" xr3:uid="{00000000-0010-0000-0800-000003000000}" name="t"/>
    <tableColumn id="4" xr3:uid="{00000000-0010-0000-0800-000004000000}" name="temperatura"/>
    <tableColumn id="5" xr3:uid="{00000000-0010-0000-0800-000005000000}" name="densidad"/>
    <tableColumn id="6" xr3:uid="{00000000-0010-0000-0800-000006000000}" name="Viability"/>
    <tableColumn id="7" xr3:uid="{00000000-0010-0000-0800-000007000000}" name="Peso Seco"/>
    <tableColumn id="8" xr3:uid="{00000000-0010-0000-0800-000008000000}" name="GLUCOSE"/>
    <tableColumn id="9" xr3:uid="{00000000-0010-0000-0800-000009000000}" name="FRUCTOSE"/>
    <tableColumn id="10" xr3:uid="{00000000-0010-0000-0800-00000A000000}" name="PAN"/>
    <tableColumn id="11" xr3:uid="{00000000-0010-0000-0800-00000B000000}" name="AMMONIA"/>
    <tableColumn id="12" xr3:uid="{00000000-0010-0000-0800-00000C000000}" name="YAN"/>
    <tableColumn id="13" xr3:uid="{00000000-0010-0000-0800-00000D000000}" name="GLYCEROL"/>
    <tableColumn id="14" xr3:uid="{00000000-0010-0000-0800-00000E000000}" name="PYRUVIC ACID"/>
    <tableColumn id="15" xr3:uid="{00000000-0010-0000-0800-00000F000000}" name="PYRUVIC ACID2"/>
    <tableColumn id="16" xr3:uid="{00000000-0010-0000-0800-000010000000}" name="ACETALDEHIDO"/>
    <tableColumn id="17" xr3:uid="{00000000-0010-0000-0800-000011000000}" name="ETANOL"/>
    <tableColumn id="18" xr3:uid="{00000000-0010-0000-0800-000012000000}" name="pulso_nut"/>
    <tableColumn id="19" xr3:uid="{00000000-0010-0000-0800-000013000000}" name="bencil_alcohol_total"/>
    <tableColumn id="20" xr3:uid="{00000000-0010-0000-0800-000014000000}" name="benzaldehido_total"/>
    <tableColumn id="21" xr3:uid="{00000000-0010-0000-0800-000015000000}" name="decanoato_de_etilo_total"/>
    <tableColumn id="22" xr3:uid="{00000000-0010-0000-0800-000016000000}" name="hexil_acetate_total"/>
    <tableColumn id="23" xr3:uid="{00000000-0010-0000-0800-000017000000}" name="isoamil_acetate_total"/>
    <tableColumn id="24" xr3:uid="{00000000-0010-0000-0800-000018000000}" name="octanoate_de_etilo_total"/>
    <tableColumn id="25" xr3:uid="{00000000-0010-0000-0800-000019000000}" name="phenylethylacetate_total"/>
    <tableColumn id="26" xr3:uid="{00000000-0010-0000-0800-00001A000000}" name="Ethyl_Acetate_total"/>
    <tableColumn id="27" xr3:uid="{00000000-0010-0000-0800-00001B000000}" name="Código ensayo"/>
    <tableColumn id="28" xr3:uid="{00000000-0010-0000-0800-00001C000000}" name="fecha_hora_original"/>
    <tableColumn id="29" xr3:uid="{00000000-0010-0000-0800-00001D000000}" name="fecha_hora_nota"/>
    <tableColumn id="30" xr3:uid="{00000000-0010-0000-0800-00001E000000}" name="base_t_origen"/>
    <tableColumn id="31" xr3:uid="{00000000-0010-0000-0800-00001F000000}" name="temperatura_fuente"/>
    <tableColumn id="32" xr3:uid="{00000000-0010-0000-0800-000020000000}" name="temperatura_evento_activo"/>
    <tableColumn id="33" xr3:uid="{00000000-0010-0000-0800-000021000000}" name="protocolo_inferido"/>
    <tableColumn id="34" xr3:uid="{00000000-0010-0000-0800-000022000000}" name="pulso_nut_evento"/>
    <tableColumn id="35" xr3:uid="{00000000-0010-0000-0800-000023000000}" name="pulso_nut_t_h"/>
    <tableColumn id="36" xr3:uid="{00000000-0010-0000-0800-000024000000}" name="pulso_nut_tipo"/>
    <tableColumn id="37" xr3:uid="{00000000-0010-0000-0800-000025000000}" name="Brix"/>
    <tableColumn id="38" xr3:uid="{00000000-0010-0000-0800-000026000000}" name="pH"/>
    <tableColumn id="39" xr3:uid="{00000000-0010-0000-0800-000027000000}" name="DO"/>
    <tableColumn id="40" xr3:uid="{00000000-0010-0000-0800-000028000000}" name="Oculyze Concentration"/>
    <tableColumn id="41" xr3:uid="{00000000-0010-0000-0800-000029000000}" name="Oculyze Budding"/>
    <tableColumn id="42" xr3:uid="{00000000-0010-0000-0800-00002A000000}" name="Y15 Glucosa-Fructosa"/>
    <tableColumn id="43" xr3:uid="{00000000-0010-0000-0800-00002B000000}" name="Y15 Acetico"/>
    <tableColumn id="44" xr3:uid="{00000000-0010-0000-0800-00002C000000}" name="Cf Alcolyzer (% v/v)"/>
    <tableColumn id="45" xr3:uid="{00000000-0010-0000-0800-00002D000000}" name="Cf Alcolyzer Real (% v/v)"/>
    <tableColumn id="46" xr3:uid="{00000000-0010-0000-0800-00002E000000}" name="Tipo muestra"/>
    <tableColumn id="47" xr3:uid="{00000000-0010-0000-0800-00002F000000}" name="Hito"/>
    <tableColumn id="48" xr3:uid="{00000000-0010-0000-0800-000030000000}" name="Matriz"/>
    <tableColumn id="49" xr3:uid="{00000000-0010-0000-0800-000031000000}" name="Volumen total (mL)"/>
    <tableColumn id="50" xr3:uid="{00000000-0010-0000-0800-000032000000}" name="Contenedores"/>
    <tableColumn id="51" xr3:uid="{00000000-0010-0000-0800-000033000000}" name="Análisis planificados"/>
    <tableColumn id="52" xr3:uid="{00000000-0010-0000-0800-000034000000}" name="Estado muestreo"/>
    <tableColumn id="53" xr3:uid="{00000000-0010-0000-0800-000035000000}" name="Peso recipiente (g)"/>
    <tableColumn id="54" xr3:uid="{00000000-0010-0000-0800-000036000000}" name="Extracto seco (g)"/>
    <tableColumn id="55" xr3:uid="{00000000-0010-0000-0800-000037000000}" name="GC-MS/MS MEF"/>
    <tableColumn id="56" xr3:uid="{00000000-0010-0000-0800-000038000000}" name="GC-MS/MS Cond"/>
    <tableColumn id="57" xr3:uid="{00000000-0010-0000-0800-000039000000}" name="Freezer"/>
    <tableColumn id="58" xr3:uid="{00000000-0010-0000-0800-00003A000000}" name="Caja"/>
    <tableColumn id="59" xr3:uid="{00000000-0010-0000-0800-00003B000000}" name="Posición"/>
    <tableColumn id="60" xr3:uid="{00000000-0010-0000-0800-00003C000000}" name="Aroma Vol GC (mL)"/>
    <tableColumn id="61" xr3:uid="{00000000-0010-0000-0800-00003D000000}" name="Aroma Dilución 1:X"/>
    <tableColumn id="62" xr3:uid="{00000000-0010-0000-0800-00003E000000}" name="Aroma GA muestra (% v/v)"/>
    <tableColumn id="63" xr3:uid="{00000000-0010-0000-0800-00003F000000}" name="Aroma EtOH objetivo (%)"/>
    <tableColumn id="64" xr3:uid="{00000000-0010-0000-0800-000040000000}" name="Aroma Alcohol HPLC 100% (uL)"/>
    <tableColumn id="65" xr3:uid="{00000000-0010-0000-0800-000041000000}" name="Aroma Vol muestra (µL)"/>
    <tableColumn id="66" xr3:uid="{00000000-0010-0000-0800-000042000000}" name="Temporada"/>
    <tableColumn id="67" xr3:uid="{00000000-0010-0000-0800-000043000000}" name="Proyecto"/>
    <tableColumn id="68" xr3:uid="{00000000-0010-0000-0800-000044000000}" name="Escala"/>
    <tableColumn id="69" xr3:uid="{00000000-0010-0000-0800-000045000000}" name="Lote"/>
    <tableColumn id="70" xr3:uid="{00000000-0010-0000-0800-000046000000}" name="Reactor/Estanque"/>
    <tableColumn id="71" xr3:uid="{00000000-0010-0000-0800-000047000000}" name="Condición"/>
    <tableColumn id="72" xr3:uid="{00000000-0010-0000-0800-000048000000}" name="Réplica"/>
    <tableColumn id="73" xr3:uid="{00000000-0010-0000-0800-000049000000}" name="Variedad"/>
    <tableColumn id="74" xr3:uid="{00000000-0010-0000-0800-00004A000000}" name="Levadura"/>
    <tableColumn id="75" xr3:uid="{00000000-0010-0000-0800-00004B000000}" name="Volumen inicial (L)"/>
    <tableColumn id="76" xr3:uid="{00000000-0010-0000-0800-00004C000000}" name="Objetivo específico"/>
    <tableColumn id="77" xr3:uid="{00000000-0010-0000-0800-00004D000000}" name="Observaciones ensay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ING26_LAB012" displayName="T_ING26_LAB012" ref="A1:BY10">
  <tableColumns count="77">
    <tableColumn id="1" xr3:uid="{00000000-0010-0000-0900-000001000000}" name="ID"/>
    <tableColumn id="2" xr3:uid="{00000000-0010-0000-0900-000002000000}" name="fecha_hora"/>
    <tableColumn id="3" xr3:uid="{00000000-0010-0000-0900-000003000000}" name="t"/>
    <tableColumn id="4" xr3:uid="{00000000-0010-0000-0900-000004000000}" name="temperatura"/>
    <tableColumn id="5" xr3:uid="{00000000-0010-0000-0900-000005000000}" name="densidad"/>
    <tableColumn id="6" xr3:uid="{00000000-0010-0000-0900-000006000000}" name="Viability"/>
    <tableColumn id="7" xr3:uid="{00000000-0010-0000-0900-000007000000}" name="Peso Seco"/>
    <tableColumn id="8" xr3:uid="{00000000-0010-0000-0900-000008000000}" name="GLUCOSE"/>
    <tableColumn id="9" xr3:uid="{00000000-0010-0000-0900-000009000000}" name="FRUCTOSE"/>
    <tableColumn id="10" xr3:uid="{00000000-0010-0000-0900-00000A000000}" name="PAN"/>
    <tableColumn id="11" xr3:uid="{00000000-0010-0000-0900-00000B000000}" name="AMMONIA"/>
    <tableColumn id="12" xr3:uid="{00000000-0010-0000-0900-00000C000000}" name="YAN"/>
    <tableColumn id="13" xr3:uid="{00000000-0010-0000-0900-00000D000000}" name="GLYCEROL"/>
    <tableColumn id="14" xr3:uid="{00000000-0010-0000-0900-00000E000000}" name="PYRUVIC ACID"/>
    <tableColumn id="15" xr3:uid="{00000000-0010-0000-0900-00000F000000}" name="PYRUVIC ACID2"/>
    <tableColumn id="16" xr3:uid="{00000000-0010-0000-0900-000010000000}" name="ACETALDEHIDO"/>
    <tableColumn id="17" xr3:uid="{00000000-0010-0000-0900-000011000000}" name="ETANOL"/>
    <tableColumn id="18" xr3:uid="{00000000-0010-0000-0900-000012000000}" name="pulso_nut"/>
    <tableColumn id="19" xr3:uid="{00000000-0010-0000-0900-000013000000}" name="bencil_alcohol_total"/>
    <tableColumn id="20" xr3:uid="{00000000-0010-0000-0900-000014000000}" name="benzaldehido_total"/>
    <tableColumn id="21" xr3:uid="{00000000-0010-0000-0900-000015000000}" name="decanoato_de_etilo_total"/>
    <tableColumn id="22" xr3:uid="{00000000-0010-0000-0900-000016000000}" name="hexil_acetate_total"/>
    <tableColumn id="23" xr3:uid="{00000000-0010-0000-0900-000017000000}" name="isoamil_acetate_total"/>
    <tableColumn id="24" xr3:uid="{00000000-0010-0000-0900-000018000000}" name="octanoate_de_etilo_total"/>
    <tableColumn id="25" xr3:uid="{00000000-0010-0000-0900-000019000000}" name="phenylethylacetate_total"/>
    <tableColumn id="26" xr3:uid="{00000000-0010-0000-0900-00001A000000}" name="Ethyl_Acetate_total"/>
    <tableColumn id="27" xr3:uid="{00000000-0010-0000-0900-00001B000000}" name="Código ensayo"/>
    <tableColumn id="28" xr3:uid="{00000000-0010-0000-0900-00001C000000}" name="fecha_hora_original"/>
    <tableColumn id="29" xr3:uid="{00000000-0010-0000-0900-00001D000000}" name="fecha_hora_nota"/>
    <tableColumn id="30" xr3:uid="{00000000-0010-0000-0900-00001E000000}" name="base_t_origen"/>
    <tableColumn id="31" xr3:uid="{00000000-0010-0000-0900-00001F000000}" name="temperatura_fuente"/>
    <tableColumn id="32" xr3:uid="{00000000-0010-0000-0900-000020000000}" name="temperatura_evento_activo"/>
    <tableColumn id="33" xr3:uid="{00000000-0010-0000-0900-000021000000}" name="protocolo_inferido"/>
    <tableColumn id="34" xr3:uid="{00000000-0010-0000-0900-000022000000}" name="pulso_nut_evento"/>
    <tableColumn id="35" xr3:uid="{00000000-0010-0000-0900-000023000000}" name="pulso_nut_t_h"/>
    <tableColumn id="36" xr3:uid="{00000000-0010-0000-0900-000024000000}" name="pulso_nut_tipo"/>
    <tableColumn id="37" xr3:uid="{00000000-0010-0000-0900-000025000000}" name="Brix"/>
    <tableColumn id="38" xr3:uid="{00000000-0010-0000-0900-000026000000}" name="pH"/>
    <tableColumn id="39" xr3:uid="{00000000-0010-0000-0900-000027000000}" name="DO"/>
    <tableColumn id="40" xr3:uid="{00000000-0010-0000-0900-000028000000}" name="Oculyze Concentration"/>
    <tableColumn id="41" xr3:uid="{00000000-0010-0000-0900-000029000000}" name="Oculyze Budding"/>
    <tableColumn id="42" xr3:uid="{00000000-0010-0000-0900-00002A000000}" name="Y15 Glucosa-Fructosa"/>
    <tableColumn id="43" xr3:uid="{00000000-0010-0000-0900-00002B000000}" name="Y15 Acetico"/>
    <tableColumn id="44" xr3:uid="{00000000-0010-0000-0900-00002C000000}" name="Cf Alcolyzer (% v/v)"/>
    <tableColumn id="45" xr3:uid="{00000000-0010-0000-0900-00002D000000}" name="Cf Alcolyzer Real (% v/v)"/>
    <tableColumn id="46" xr3:uid="{00000000-0010-0000-0900-00002E000000}" name="Tipo muestra"/>
    <tableColumn id="47" xr3:uid="{00000000-0010-0000-0900-00002F000000}" name="Hito"/>
    <tableColumn id="48" xr3:uid="{00000000-0010-0000-0900-000030000000}" name="Matriz"/>
    <tableColumn id="49" xr3:uid="{00000000-0010-0000-0900-000031000000}" name="Volumen total (mL)"/>
    <tableColumn id="50" xr3:uid="{00000000-0010-0000-0900-000032000000}" name="Contenedores"/>
    <tableColumn id="51" xr3:uid="{00000000-0010-0000-0900-000033000000}" name="Análisis planificados"/>
    <tableColumn id="52" xr3:uid="{00000000-0010-0000-0900-000034000000}" name="Estado muestreo"/>
    <tableColumn id="53" xr3:uid="{00000000-0010-0000-0900-000035000000}" name="Peso recipiente (g)"/>
    <tableColumn id="54" xr3:uid="{00000000-0010-0000-0900-000036000000}" name="Extracto seco (g)"/>
    <tableColumn id="55" xr3:uid="{00000000-0010-0000-0900-000037000000}" name="GC-MS/MS MEF"/>
    <tableColumn id="56" xr3:uid="{00000000-0010-0000-0900-000038000000}" name="GC-MS/MS Cond"/>
    <tableColumn id="57" xr3:uid="{00000000-0010-0000-0900-000039000000}" name="Freezer"/>
    <tableColumn id="58" xr3:uid="{00000000-0010-0000-0900-00003A000000}" name="Caja"/>
    <tableColumn id="59" xr3:uid="{00000000-0010-0000-0900-00003B000000}" name="Posición"/>
    <tableColumn id="60" xr3:uid="{00000000-0010-0000-0900-00003C000000}" name="Aroma Vol GC (mL)"/>
    <tableColumn id="61" xr3:uid="{00000000-0010-0000-0900-00003D000000}" name="Aroma Dilución 1:X"/>
    <tableColumn id="62" xr3:uid="{00000000-0010-0000-0900-00003E000000}" name="Aroma GA muestra (% v/v)"/>
    <tableColumn id="63" xr3:uid="{00000000-0010-0000-0900-00003F000000}" name="Aroma EtOH objetivo (%)"/>
    <tableColumn id="64" xr3:uid="{00000000-0010-0000-0900-000040000000}" name="Aroma Alcohol HPLC 100% (uL)"/>
    <tableColumn id="65" xr3:uid="{00000000-0010-0000-0900-000041000000}" name="Aroma Vol muestra (µL)"/>
    <tableColumn id="66" xr3:uid="{00000000-0010-0000-0900-000042000000}" name="Temporada"/>
    <tableColumn id="67" xr3:uid="{00000000-0010-0000-0900-000043000000}" name="Proyecto"/>
    <tableColumn id="68" xr3:uid="{00000000-0010-0000-0900-000044000000}" name="Escala"/>
    <tableColumn id="69" xr3:uid="{00000000-0010-0000-0900-000045000000}" name="Lote"/>
    <tableColumn id="70" xr3:uid="{00000000-0010-0000-0900-000046000000}" name="Reactor/Estanque"/>
    <tableColumn id="71" xr3:uid="{00000000-0010-0000-0900-000047000000}" name="Condición"/>
    <tableColumn id="72" xr3:uid="{00000000-0010-0000-0900-000048000000}" name="Réplica"/>
    <tableColumn id="73" xr3:uid="{00000000-0010-0000-0900-000049000000}" name="Variedad"/>
    <tableColumn id="74" xr3:uid="{00000000-0010-0000-0900-00004A000000}" name="Levadura"/>
    <tableColumn id="75" xr3:uid="{00000000-0010-0000-0900-00004B000000}" name="Volumen inicial (L)"/>
    <tableColumn id="76" xr3:uid="{00000000-0010-0000-0900-00004C000000}" name="Objetivo específico"/>
    <tableColumn id="77" xr3:uid="{00000000-0010-0000-0900-00004D000000}" name="Observaciones ensay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Perfiles_temp" displayName="T_Perfiles_temp" ref="A1:F26">
  <tableColumns count="6">
    <tableColumn id="1" xr3:uid="{00000000-0010-0000-0A00-000001000000}" name="Código ensayo"/>
    <tableColumn id="2" xr3:uid="{00000000-0010-0000-0A00-000002000000}" name="t_h"/>
    <tableColumn id="3" xr3:uid="{00000000-0010-0000-0A00-000003000000}" name="temperatura"/>
    <tableColumn id="4" xr3:uid="{00000000-0010-0000-0A00-000004000000}" name="evento_o_fase"/>
    <tableColumn id="5" xr3:uid="{00000000-0010-0000-0A00-000005000000}" name="fuente"/>
    <tableColumn id="6" xr3:uid="{00000000-0010-0000-0A00-000006000000}" name="base_t_orige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Eventos" displayName="T_Eventos" ref="A1:S44">
  <tableColumns count="19">
    <tableColumn id="1" xr3:uid="{00000000-0010-0000-0B00-000001000000}" name="Código evento"/>
    <tableColumn id="2" xr3:uid="{00000000-0010-0000-0B00-000002000000}" name="Código ensayo"/>
    <tableColumn id="3" xr3:uid="{00000000-0010-0000-0B00-000003000000}" name="Escala"/>
    <tableColumn id="4" xr3:uid="{00000000-0010-0000-0B00-000004000000}" name="Fecha"/>
    <tableColumn id="5" xr3:uid="{00000000-0010-0000-0B00-000005000000}" name="Hora"/>
    <tableColumn id="6" xr3:uid="{00000000-0010-0000-0B00-000006000000}" name="Fecha-hora"/>
    <tableColumn id="7" xr3:uid="{00000000-0010-0000-0B00-000007000000}" name="Tipo evento"/>
    <tableColumn id="8" xr3:uid="{00000000-0010-0000-0B00-000008000000}" name="Producto/Nutriente"/>
    <tableColumn id="9" xr3:uid="{00000000-0010-0000-0B00-000009000000}" name="Dosis"/>
    <tableColumn id="10" xr3:uid="{00000000-0010-0000-0B00-00000A000000}" name="Unidad"/>
    <tableColumn id="11" xr3:uid="{00000000-0010-0000-0B00-00000B000000}" name="Estado fermentación"/>
    <tableColumn id="12" xr3:uid="{00000000-0010-0000-0B00-00000C000000}" name="Responsable"/>
    <tableColumn id="13" xr3:uid="{00000000-0010-0000-0B00-00000D000000}" name="Estado"/>
    <tableColumn id="14" xr3:uid="{00000000-0010-0000-0B00-00000E000000}" name="Fecha de ejecución"/>
    <tableColumn id="15" xr3:uid="{00000000-0010-0000-0B00-00000F000000}" name="Observaciones"/>
    <tableColumn id="16" xr3:uid="{00000000-0010-0000-0B00-000010000000}" name="Código ensayo imputado"/>
    <tableColumn id="17" xr3:uid="{00000000-0010-0000-0B00-000011000000}" name="fecha_hora_normalizada"/>
    <tableColumn id="18" xr3:uid="{00000000-0010-0000-0B00-000012000000}" name="t_evento_h"/>
    <tableColumn id="19" xr3:uid="{00000000-0010-0000-0B00-000013000000}" name="fecha_hora_no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Maestro" displayName="T_Maestro" ref="A1:P7">
  <tableColumns count="16">
    <tableColumn id="1" xr3:uid="{00000000-0010-0000-0C00-000001000000}" name="Temporada"/>
    <tableColumn id="2" xr3:uid="{00000000-0010-0000-0C00-000002000000}" name="Proyecto"/>
    <tableColumn id="3" xr3:uid="{00000000-0010-0000-0C00-000003000000}" name="Escala"/>
    <tableColumn id="4" xr3:uid="{00000000-0010-0000-0C00-000004000000}" name="Lote"/>
    <tableColumn id="5" xr3:uid="{00000000-0010-0000-0C00-000005000000}" name="Reactor/Estanque"/>
    <tableColumn id="6" xr3:uid="{00000000-0010-0000-0C00-000006000000}" name="Condición"/>
    <tableColumn id="7" xr3:uid="{00000000-0010-0000-0C00-000007000000}" name="Réplica"/>
    <tableColumn id="8" xr3:uid="{00000000-0010-0000-0C00-000008000000}" name="Código ensayo"/>
    <tableColumn id="9" xr3:uid="{00000000-0010-0000-0C00-000009000000}" name="Variedad"/>
    <tableColumn id="10" xr3:uid="{00000000-0010-0000-0C00-00000A000000}" name="Levadura"/>
    <tableColumn id="11" xr3:uid="{00000000-0010-0000-0C00-00000B000000}" name="Volumen inicial (L)"/>
    <tableColumn id="12" xr3:uid="{00000000-0010-0000-0C00-00000C000000}" name="Fecha inoculación"/>
    <tableColumn id="13" xr3:uid="{00000000-0010-0000-0C00-00000D000000}" name="Hora inoculación"/>
    <tableColumn id="14" xr3:uid="{00000000-0010-0000-0C00-00000E000000}" name="Responsable"/>
    <tableColumn id="15" xr3:uid="{00000000-0010-0000-0C00-00000F000000}" name="Objetivo específico"/>
    <tableColumn id="16" xr3:uid="{00000000-0010-0000-0C00-000010000000}" name="Observacio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Muestreo" displayName="T_Muestreo" ref="A1:S89">
  <tableColumns count="19">
    <tableColumn id="1" xr3:uid="{00000000-0010-0000-0D00-000001000000}" name="Código muestra"/>
    <tableColumn id="2" xr3:uid="{00000000-0010-0000-0D00-000002000000}" name="Código ensayo"/>
    <tableColumn id="3" xr3:uid="{00000000-0010-0000-0D00-000003000000}" name="Escala"/>
    <tableColumn id="4" xr3:uid="{00000000-0010-0000-0D00-000004000000}" name="Lote"/>
    <tableColumn id="5" xr3:uid="{00000000-0010-0000-0D00-000005000000}" name="Reactor/Estanque"/>
    <tableColumn id="6" xr3:uid="{00000000-0010-0000-0D00-000006000000}" name="Condición"/>
    <tableColumn id="7" xr3:uid="{00000000-0010-0000-0D00-000007000000}" name="Réplica"/>
    <tableColumn id="8" xr3:uid="{00000000-0010-0000-0D00-000008000000}" name="Fecha-hora"/>
    <tableColumn id="9" xr3:uid="{00000000-0010-0000-0D00-000009000000}" name="Estado"/>
    <tableColumn id="10" xr3:uid="{00000000-0010-0000-0D00-00000A000000}" name="Hito"/>
    <tableColumn id="11" xr3:uid="{00000000-0010-0000-0D00-00000B000000}" name="Tipo muestra"/>
    <tableColumn id="12" xr3:uid="{00000000-0010-0000-0D00-00000C000000}" name="Matriz"/>
    <tableColumn id="13" xr3:uid="{00000000-0010-0000-0D00-00000D000000}" name="Volumen total (mL)"/>
    <tableColumn id="14" xr3:uid="{00000000-0010-0000-0D00-00000E000000}" name="Contenedores"/>
    <tableColumn id="15" xr3:uid="{00000000-0010-0000-0D00-00000F000000}" name="Análisis planificados"/>
    <tableColumn id="16" xr3:uid="{00000000-0010-0000-0D00-000010000000}" name="Observaciones"/>
    <tableColumn id="17" xr3:uid="{00000000-0010-0000-0D00-000011000000}" name="fecha_hora_normalizada"/>
    <tableColumn id="18" xr3:uid="{00000000-0010-0000-0D00-000012000000}" name="t_muestreo_h"/>
    <tableColumn id="19" xr3:uid="{00000000-0010-0000-0D00-000013000000}" name="fecha_hora_no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Extendidos" displayName="T_Extendidos" ref="A1:N44">
  <tableColumns count="14">
    <tableColumn id="1" xr3:uid="{00000000-0010-0000-0E00-000001000000}" name="Código muestra"/>
    <tableColumn id="2" xr3:uid="{00000000-0010-0000-0E00-000002000000}" name="Fecha-hora"/>
    <tableColumn id="3" xr3:uid="{00000000-0010-0000-0E00-000003000000}" name="Tipo muestra"/>
    <tableColumn id="4" xr3:uid="{00000000-0010-0000-0E00-000004000000}" name="Cf Alcolyzer (% v/v)"/>
    <tableColumn id="5" xr3:uid="{00000000-0010-0000-0E00-000005000000}" name="Peso recipiente (g)"/>
    <tableColumn id="6" xr3:uid="{00000000-0010-0000-0E00-000006000000}" name="Extracto seco (g)"/>
    <tableColumn id="7" xr3:uid="{00000000-0010-0000-0E00-000007000000}" name="Peso seco biomasa (g)"/>
    <tableColumn id="8" xr3:uid="{00000000-0010-0000-0E00-000008000000}" name="GC-MS/MS MEF"/>
    <tableColumn id="9" xr3:uid="{00000000-0010-0000-0E00-000009000000}" name="GC-MS/MS Cond"/>
    <tableColumn id="10" xr3:uid="{00000000-0010-0000-0E00-00000A000000}" name="Freezer"/>
    <tableColumn id="11" xr3:uid="{00000000-0010-0000-0E00-00000B000000}" name="Caja"/>
    <tableColumn id="12" xr3:uid="{00000000-0010-0000-0E00-00000C000000}" name="Posición"/>
    <tableColumn id="13" xr3:uid="{00000000-0010-0000-0E00-00000D000000}" name="Revisado por"/>
    <tableColumn id="14" xr3:uid="{00000000-0010-0000-0E00-00000E000000}" name="Observacion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Aromas_MEF" displayName="T_Aromas_MEF" ref="A1:J44">
  <tableColumns count="10">
    <tableColumn id="1" xr3:uid="{00000000-0010-0000-0F00-000001000000}" name="Código muestra"/>
    <tableColumn id="2" xr3:uid="{00000000-0010-0000-0F00-000002000000}" name="Ensayo"/>
    <tableColumn id="3" xr3:uid="{00000000-0010-0000-0F00-000003000000}" name="Fecha-hora"/>
    <tableColumn id="4" xr3:uid="{00000000-0010-0000-0F00-000004000000}" name="Vol GC (mL)"/>
    <tableColumn id="5" xr3:uid="{00000000-0010-0000-0F00-000005000000}" name="Dilución 1:X"/>
    <tableColumn id="6" xr3:uid="{00000000-0010-0000-0F00-000006000000}" name="GA muestra (% v/v)"/>
    <tableColumn id="7" xr3:uid="{00000000-0010-0000-0F00-000007000000}" name="EtOH objetivo (%)"/>
    <tableColumn id="8" xr3:uid="{00000000-0010-0000-0F00-000008000000}" name="Alcohol HPLC 100%  (uL)"/>
    <tableColumn id="9" xr3:uid="{00000000-0010-0000-0F00-000009000000}" name="Vol muestra (µL)"/>
    <tableColumn id="10" xr3:uid="{00000000-0010-0000-0F00-00000A000000}" name="Observacion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Aromas_Cond" displayName="T_Aromas_Cond" ref="A1:O4">
  <tableColumns count="15">
    <tableColumn id="1" xr3:uid="{00000000-0010-0000-1000-000001000000}" name="Código condensado / mix"/>
    <tableColumn id="2" xr3:uid="{00000000-0010-0000-1000-000002000000}" name="Código muestra MEF"/>
    <tableColumn id="3" xr3:uid="{00000000-0010-0000-1000-000003000000}" name="Fecha-hora"/>
    <tableColumn id="4" xr3:uid="{00000000-0010-0000-1000-000004000000}" name="Vol CA (mL)"/>
    <tableColumn id="5" xr3:uid="{00000000-0010-0000-1000-000005000000}" name="Vol CB (mL)"/>
    <tableColumn id="6" xr3:uid="{00000000-0010-0000-1000-000006000000}" name="Vol MIX CA + CB (µL)"/>
    <tableColumn id="7" xr3:uid="{00000000-0010-0000-1000-000007000000}" name="Vol CA MIX(uL)"/>
    <tableColumn id="8" xr3:uid="{00000000-0010-0000-1000-000008000000}" name="Vol CB MIX(uL)"/>
    <tableColumn id="9" xr3:uid="{00000000-0010-0000-1000-000009000000}" name="Vol GC (µL)"/>
    <tableColumn id="10" xr3:uid="{00000000-0010-0000-1000-00000A000000}" name="Dil. GC"/>
    <tableColumn id="11" xr3:uid="{00000000-0010-0000-1000-00000B000000}" name="EtOH objetivo (%)"/>
    <tableColumn id="12" xr3:uid="{00000000-0010-0000-1000-00000C000000}" name="Vol MIX (uL)"/>
    <tableColumn id="13" xr3:uid="{00000000-0010-0000-1000-00000D000000}" name="Alcohol HPLC 100%  (uL)"/>
    <tableColumn id="14" xr3:uid="{00000000-0010-0000-1000-00000E000000}" name="Vol agua (µL)"/>
    <tableColumn id="15" xr3:uid="{00000000-0010-0000-1000-00000F000000}" name="Observacion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Diccionario" displayName="T_Diccionario" ref="A1:C19">
  <tableColumns count="3">
    <tableColumn id="1" xr3:uid="{00000000-0010-0000-1100-000001000000}" name="Columna salida"/>
    <tableColumn id="2" xr3:uid="{00000000-0010-0000-1100-000002000000}" name="Fuente"/>
    <tableColumn id="3" xr3:uid="{00000000-0010-0000-1100-000003000000}" name="Regl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Primarios" displayName="T_Primarios" ref="A1:Z105">
  <tableColumns count="26">
    <tableColumn id="1" xr3:uid="{00000000-0010-0000-1200-000001000000}" name="Código muestra"/>
    <tableColumn id="2" xr3:uid="{00000000-0010-0000-1200-000002000000}" name="Fecha-hora"/>
    <tableColumn id="3" xr3:uid="{00000000-0010-0000-1200-000003000000}" name="Densidad"/>
    <tableColumn id="4" xr3:uid="{00000000-0010-0000-1200-000004000000}" name="Brix"/>
    <tableColumn id="5" xr3:uid="{00000000-0010-0000-1200-000005000000}" name="pH"/>
    <tableColumn id="6" xr3:uid="{00000000-0010-0000-1200-000006000000}" name="DO"/>
    <tableColumn id="7" xr3:uid="{00000000-0010-0000-1200-000007000000}" name="Oculyze Concentration"/>
    <tableColumn id="8" xr3:uid="{00000000-0010-0000-1200-000008000000}" name="Oculyze Viability"/>
    <tableColumn id="9" xr3:uid="{00000000-0010-0000-1200-000009000000}" name="Oculyze Budding"/>
    <tableColumn id="10" xr3:uid="{00000000-0010-0000-1200-00000A000000}" name="Y15 Glucosa-Fructosa"/>
    <tableColumn id="11" xr3:uid="{00000000-0010-0000-1200-00000B000000}" name="Y15 Glucosa"/>
    <tableColumn id="12" xr3:uid="{00000000-0010-0000-1200-00000C000000}" name="Y15 Fructosa"/>
    <tableColumn id="13" xr3:uid="{00000000-0010-0000-1200-00000D000000}" name="Y15 PAN"/>
    <tableColumn id="14" xr3:uid="{00000000-0010-0000-1200-00000E000000}" name="Y15 Amonio"/>
    <tableColumn id="15" xr3:uid="{00000000-0010-0000-1200-00000F000000}" name="Y15 Glicerol"/>
    <tableColumn id="16" xr3:uid="{00000000-0010-0000-1200-000010000000}" name="Y15 Acetico"/>
    <tableColumn id="17" xr3:uid="{00000000-0010-0000-1200-000011000000}" name="Y15 Piruvic"/>
    <tableColumn id="18" xr3:uid="{00000000-0010-0000-1200-000012000000}" name="Y15 Acetaldehido"/>
    <tableColumn id="19" xr3:uid="{00000000-0010-0000-1200-000013000000}" name="Cf Alcolyzer (% v/v)"/>
    <tableColumn id="20" xr3:uid="{00000000-0010-0000-1200-000014000000}" name="Cf Alcolyzer Real (% v/v)"/>
    <tableColumn id="21" xr3:uid="{00000000-0010-0000-1200-000015000000}" name="Revisado por"/>
    <tableColumn id="22" xr3:uid="{00000000-0010-0000-1200-000016000000}" name="Observaciones"/>
    <tableColumn id="23" xr3:uid="{00000000-0010-0000-1200-000017000000}" name="Código ensayo imputado"/>
    <tableColumn id="24" xr3:uid="{00000000-0010-0000-1200-000018000000}" name="fecha_hora_normalizada"/>
    <tableColumn id="25" xr3:uid="{00000000-0010-0000-1200-000019000000}" name="t_h"/>
    <tableColumn id="26" xr3:uid="{00000000-0010-0000-1200-00001A000000}" name="fecha_hora_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A9" workbookViewId="0"/>
  </sheetViews>
  <sheetFormatPr baseColWidth="10" defaultColWidth="9" defaultRowHeight="14.25"/>
  <cols>
    <col min="1" max="2" width="36" customWidth="1"/>
  </cols>
  <sheetData>
    <row r="1" spans="1:9" ht="1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</row>
    <row r="2" spans="1:9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spans="1:9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</row>
    <row r="4" spans="1:9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</row>
    <row r="5" spans="1:9" ht="57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</row>
    <row r="6" spans="1:9">
      <c r="A6" s="2" t="s">
        <v>10</v>
      </c>
      <c r="B6" s="2">
        <v>104</v>
      </c>
      <c r="C6" s="2"/>
      <c r="D6" s="2"/>
      <c r="E6" s="2"/>
      <c r="F6" s="2"/>
      <c r="G6" s="2"/>
      <c r="H6" s="2"/>
      <c r="I6" s="2"/>
    </row>
    <row r="7" spans="1:9" ht="28.5">
      <c r="A7" s="2" t="s">
        <v>11</v>
      </c>
      <c r="B7" s="2" t="s">
        <v>12</v>
      </c>
      <c r="C7" s="2"/>
      <c r="D7" s="2"/>
      <c r="E7" s="2"/>
      <c r="F7" s="2"/>
      <c r="G7" s="2"/>
      <c r="H7" s="2"/>
      <c r="I7" s="2"/>
    </row>
    <row r="8" spans="1:9" ht="42.75">
      <c r="A8" s="2" t="s">
        <v>13</v>
      </c>
      <c r="B8" s="2" t="s">
        <v>14</v>
      </c>
      <c r="C8" s="2"/>
      <c r="D8" s="2"/>
      <c r="E8" s="2"/>
      <c r="F8" s="2"/>
      <c r="G8" s="2"/>
      <c r="H8" s="2"/>
      <c r="I8" s="2"/>
    </row>
    <row r="9" spans="1:9" ht="71.25">
      <c r="A9" s="2" t="s">
        <v>15</v>
      </c>
      <c r="B9" s="2" t="s">
        <v>16</v>
      </c>
      <c r="C9" s="2"/>
      <c r="D9" s="2"/>
      <c r="E9" s="2"/>
      <c r="F9" s="2"/>
      <c r="G9" s="2"/>
      <c r="H9" s="2"/>
      <c r="I9" s="2"/>
    </row>
    <row r="10" spans="1:9">
      <c r="A10" s="2" t="s">
        <v>17</v>
      </c>
      <c r="B10" s="2" t="s">
        <v>18</v>
      </c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 ht="4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</row>
    <row r="13" spans="1:9" ht="42.75">
      <c r="A13" s="2" t="s">
        <v>28</v>
      </c>
      <c r="B13" s="2">
        <v>13</v>
      </c>
      <c r="C13" s="2">
        <v>5</v>
      </c>
      <c r="D13" s="2">
        <v>5</v>
      </c>
      <c r="E13" s="2" t="s">
        <v>29</v>
      </c>
      <c r="F13" s="2">
        <v>0</v>
      </c>
      <c r="G13" s="2">
        <v>163</v>
      </c>
      <c r="H13" s="2" t="s">
        <v>30</v>
      </c>
      <c r="I13" s="2"/>
    </row>
    <row r="14" spans="1:9" ht="42.75">
      <c r="A14" s="2" t="s">
        <v>31</v>
      </c>
      <c r="B14" s="2">
        <v>13</v>
      </c>
      <c r="C14" s="2">
        <v>5</v>
      </c>
      <c r="D14" s="2">
        <v>5</v>
      </c>
      <c r="E14" s="2" t="s">
        <v>29</v>
      </c>
      <c r="F14" s="2">
        <v>0</v>
      </c>
      <c r="G14" s="2">
        <v>163</v>
      </c>
      <c r="H14" s="2" t="s">
        <v>30</v>
      </c>
      <c r="I14" s="2"/>
    </row>
    <row r="15" spans="1:9" ht="42.75">
      <c r="A15" s="2" t="s">
        <v>32</v>
      </c>
      <c r="B15" s="2">
        <v>15</v>
      </c>
      <c r="C15" s="2">
        <v>5</v>
      </c>
      <c r="D15" s="2">
        <v>5</v>
      </c>
      <c r="E15" s="2" t="s">
        <v>29</v>
      </c>
      <c r="F15" s="2">
        <v>0</v>
      </c>
      <c r="G15" s="2">
        <v>211</v>
      </c>
      <c r="H15" s="2" t="s">
        <v>33</v>
      </c>
      <c r="I15" s="2"/>
    </row>
    <row r="16" spans="1:9" ht="142.5">
      <c r="A16" s="2" t="s">
        <v>34</v>
      </c>
      <c r="B16" s="2">
        <v>13</v>
      </c>
      <c r="C16" s="2">
        <v>5</v>
      </c>
      <c r="D16" s="2">
        <v>4</v>
      </c>
      <c r="E16" s="2" t="s">
        <v>35</v>
      </c>
      <c r="F16" s="2">
        <v>0</v>
      </c>
      <c r="G16" s="2">
        <v>160</v>
      </c>
      <c r="H16" s="2" t="s">
        <v>36</v>
      </c>
      <c r="I16" s="2" t="s">
        <v>37</v>
      </c>
    </row>
    <row r="17" spans="1:9" ht="142.5">
      <c r="A17" s="2" t="s">
        <v>38</v>
      </c>
      <c r="B17" s="2">
        <v>13</v>
      </c>
      <c r="C17" s="2">
        <v>5</v>
      </c>
      <c r="D17" s="2">
        <v>4</v>
      </c>
      <c r="E17" s="2" t="s">
        <v>35</v>
      </c>
      <c r="F17" s="2">
        <v>0</v>
      </c>
      <c r="G17" s="2">
        <v>160</v>
      </c>
      <c r="H17" s="2" t="s">
        <v>30</v>
      </c>
      <c r="I17" s="2" t="s">
        <v>37</v>
      </c>
    </row>
    <row r="18" spans="1:9" ht="142.5">
      <c r="A18" s="2" t="s">
        <v>39</v>
      </c>
      <c r="B18" s="2">
        <v>12</v>
      </c>
      <c r="C18" s="2">
        <v>5</v>
      </c>
      <c r="D18" s="2">
        <v>4</v>
      </c>
      <c r="E18" s="2" t="s">
        <v>35</v>
      </c>
      <c r="F18" s="2">
        <v>0</v>
      </c>
      <c r="G18" s="2">
        <v>160</v>
      </c>
      <c r="H18" s="2" t="s">
        <v>30</v>
      </c>
      <c r="I18" s="2" t="s">
        <v>37</v>
      </c>
    </row>
    <row r="19" spans="1:9" ht="42.75">
      <c r="A19" s="2" t="s">
        <v>40</v>
      </c>
      <c r="B19" s="2">
        <v>9</v>
      </c>
      <c r="C19" s="2">
        <v>3</v>
      </c>
      <c r="D19" s="2">
        <v>4</v>
      </c>
      <c r="E19" s="2" t="s">
        <v>29</v>
      </c>
      <c r="F19" s="2">
        <v>5</v>
      </c>
      <c r="G19" s="2">
        <v>192</v>
      </c>
      <c r="H19" s="2"/>
      <c r="I19" s="2"/>
    </row>
    <row r="20" spans="1:9" ht="42.75">
      <c r="A20" s="2" t="s">
        <v>41</v>
      </c>
      <c r="B20" s="2">
        <v>8</v>
      </c>
      <c r="C20" s="2">
        <v>4</v>
      </c>
      <c r="D20" s="2">
        <v>6</v>
      </c>
      <c r="E20" s="2" t="s">
        <v>29</v>
      </c>
      <c r="F20" s="2">
        <v>5</v>
      </c>
      <c r="G20" s="2">
        <v>168</v>
      </c>
      <c r="H20" s="2"/>
      <c r="I20" s="2"/>
    </row>
    <row r="21" spans="1:9" ht="42.75">
      <c r="A21" s="2" t="s">
        <v>42</v>
      </c>
      <c r="B21" s="2">
        <v>8</v>
      </c>
      <c r="C21" s="2">
        <v>4</v>
      </c>
      <c r="D21" s="2">
        <v>6</v>
      </c>
      <c r="E21" s="2" t="s">
        <v>29</v>
      </c>
      <c r="F21" s="2">
        <v>5</v>
      </c>
      <c r="G21" s="2">
        <v>168</v>
      </c>
      <c r="H21" s="2"/>
      <c r="I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05"/>
  <sheetViews>
    <sheetView workbookViewId="0"/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118</v>
      </c>
      <c r="B2" s="4">
        <v>46118.541666666664</v>
      </c>
      <c r="C2" s="5">
        <v>0</v>
      </c>
      <c r="D2" s="5">
        <v>18</v>
      </c>
      <c r="E2" s="5">
        <v>1067.7</v>
      </c>
      <c r="F2" s="5">
        <v>13.13</v>
      </c>
      <c r="G2" s="5">
        <v>6.7700000000000315E-2</v>
      </c>
      <c r="H2" s="5">
        <v>75.040000000000006</v>
      </c>
      <c r="I2" s="5">
        <v>70.809999999999988</v>
      </c>
      <c r="J2" s="5">
        <v>93</v>
      </c>
      <c r="K2" s="5">
        <v>168</v>
      </c>
      <c r="L2" s="5">
        <v>230.76</v>
      </c>
      <c r="M2" s="5">
        <v>0.99</v>
      </c>
      <c r="N2" s="5">
        <v>17</v>
      </c>
      <c r="O2" s="3"/>
      <c r="P2" s="5">
        <v>55</v>
      </c>
      <c r="Q2" s="5">
        <v>1.23</v>
      </c>
      <c r="R2" s="3" t="s">
        <v>119</v>
      </c>
      <c r="S2" s="3"/>
      <c r="T2" s="3"/>
      <c r="U2" s="3"/>
      <c r="V2" s="3"/>
      <c r="W2" s="3"/>
      <c r="X2" s="3"/>
      <c r="Y2" s="3"/>
      <c r="Z2" s="3"/>
      <c r="AA2" s="3" t="s">
        <v>28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122</v>
      </c>
      <c r="AG2" s="3" t="s">
        <v>30</v>
      </c>
      <c r="AH2" s="3" t="s">
        <v>123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13.44</v>
      </c>
      <c r="AO2" s="3">
        <v>10.86</v>
      </c>
      <c r="AP2" s="3">
        <v>145.85</v>
      </c>
      <c r="AQ2" s="3"/>
      <c r="AR2" s="3">
        <v>1.53</v>
      </c>
      <c r="AS2" s="3">
        <v>1.23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5.4302999999999999</v>
      </c>
      <c r="BB2" s="3">
        <v>5.4980000000000002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1.23</v>
      </c>
      <c r="BK2" s="3">
        <v>12.5</v>
      </c>
      <c r="BL2" s="3">
        <v>1141.0347271438698</v>
      </c>
      <c r="BM2" s="3">
        <v>8858.9652728561305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137</v>
      </c>
      <c r="BS2" s="3" t="s">
        <v>138</v>
      </c>
      <c r="BT2" s="3" t="s">
        <v>139</v>
      </c>
      <c r="BU2" s="3" t="s">
        <v>140</v>
      </c>
      <c r="BV2" s="3" t="s">
        <v>141</v>
      </c>
      <c r="BW2" s="3">
        <v>2</v>
      </c>
      <c r="BX2" s="3" t="s">
        <v>142</v>
      </c>
      <c r="BY2" s="3" t="s">
        <v>143</v>
      </c>
    </row>
    <row r="3" spans="1:77">
      <c r="A3" s="3" t="s">
        <v>144</v>
      </c>
      <c r="B3" s="4">
        <v>46119.333333333336</v>
      </c>
      <c r="C3" s="5">
        <v>19</v>
      </c>
      <c r="D3" s="5">
        <v>18</v>
      </c>
      <c r="E3" s="5">
        <v>1064.3</v>
      </c>
      <c r="F3" s="5">
        <v>28.07</v>
      </c>
      <c r="G3" s="5"/>
      <c r="H3" s="5">
        <v>70.28</v>
      </c>
      <c r="I3" s="5">
        <v>75.430000000000007</v>
      </c>
      <c r="J3" s="5">
        <v>63</v>
      </c>
      <c r="K3" s="5">
        <v>146</v>
      </c>
      <c r="L3" s="5">
        <v>182.72</v>
      </c>
      <c r="M3" s="5">
        <v>1.2</v>
      </c>
      <c r="N3" s="5">
        <v>19</v>
      </c>
      <c r="O3" s="3"/>
      <c r="P3" s="5">
        <v>109</v>
      </c>
      <c r="Q3" s="5">
        <v>-0.3</v>
      </c>
      <c r="R3" s="3"/>
      <c r="S3" s="3"/>
      <c r="T3" s="3"/>
      <c r="U3" s="3"/>
      <c r="V3" s="3"/>
      <c r="W3" s="3"/>
      <c r="X3" s="3"/>
      <c r="Y3" s="3"/>
      <c r="Z3" s="3"/>
      <c r="AA3" s="3" t="s">
        <v>28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122</v>
      </c>
      <c r="AG3" s="3" t="s">
        <v>30</v>
      </c>
      <c r="AH3" s="3"/>
      <c r="AI3" s="3"/>
      <c r="AJ3" s="3"/>
      <c r="AK3" s="3">
        <v>16.2</v>
      </c>
      <c r="AL3" s="3"/>
      <c r="AM3" s="3"/>
      <c r="AN3" s="3">
        <v>28.53</v>
      </c>
      <c r="AO3" s="3">
        <v>29.34</v>
      </c>
      <c r="AP3" s="3">
        <v>145.71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137</v>
      </c>
      <c r="BS3" s="3" t="s">
        <v>138</v>
      </c>
      <c r="BT3" s="3" t="s">
        <v>139</v>
      </c>
      <c r="BU3" s="3" t="s">
        <v>140</v>
      </c>
      <c r="BV3" s="3" t="s">
        <v>141</v>
      </c>
      <c r="BW3" s="3">
        <v>2</v>
      </c>
      <c r="BX3" s="3" t="s">
        <v>142</v>
      </c>
      <c r="BY3" s="3" t="s">
        <v>143</v>
      </c>
    </row>
    <row r="4" spans="1:77">
      <c r="A4" s="3" t="s">
        <v>150</v>
      </c>
      <c r="B4" s="4">
        <v>46119.625</v>
      </c>
      <c r="C4" s="5">
        <v>26</v>
      </c>
      <c r="D4" s="5">
        <v>18</v>
      </c>
      <c r="E4" s="5">
        <v>1061.0999999999999</v>
      </c>
      <c r="F4" s="5">
        <v>25.69</v>
      </c>
      <c r="G4" s="5"/>
      <c r="H4" s="5">
        <v>68.27</v>
      </c>
      <c r="I4" s="5">
        <v>70.58</v>
      </c>
      <c r="J4" s="5">
        <v>50</v>
      </c>
      <c r="K4" s="5">
        <v>131</v>
      </c>
      <c r="L4" s="5">
        <v>157.41999999999999</v>
      </c>
      <c r="M4" s="5">
        <v>1.28</v>
      </c>
      <c r="N4" s="5">
        <v>33</v>
      </c>
      <c r="O4" s="3"/>
      <c r="P4" s="5">
        <v>107</v>
      </c>
      <c r="Q4" s="5">
        <v>-0.3</v>
      </c>
      <c r="R4" s="3"/>
      <c r="S4" s="3"/>
      <c r="T4" s="3"/>
      <c r="U4" s="3"/>
      <c r="V4" s="3"/>
      <c r="W4" s="3"/>
      <c r="X4" s="3"/>
      <c r="Y4" s="3"/>
      <c r="Z4" s="3"/>
      <c r="AA4" s="3" t="s">
        <v>28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122</v>
      </c>
      <c r="AG4" s="3" t="s">
        <v>30</v>
      </c>
      <c r="AH4" s="3"/>
      <c r="AI4" s="3"/>
      <c r="AJ4" s="3"/>
      <c r="AK4" s="3">
        <v>15.6</v>
      </c>
      <c r="AL4" s="3"/>
      <c r="AM4" s="3"/>
      <c r="AN4" s="3">
        <v>25.73</v>
      </c>
      <c r="AO4" s="3">
        <v>27.76</v>
      </c>
      <c r="AP4" s="3">
        <v>138.85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137</v>
      </c>
      <c r="BS4" s="3" t="s">
        <v>138</v>
      </c>
      <c r="BT4" s="3" t="s">
        <v>139</v>
      </c>
      <c r="BU4" s="3" t="s">
        <v>140</v>
      </c>
      <c r="BV4" s="3" t="s">
        <v>141</v>
      </c>
      <c r="BW4" s="3">
        <v>2</v>
      </c>
      <c r="BX4" s="3" t="s">
        <v>142</v>
      </c>
      <c r="BY4" s="3" t="s">
        <v>143</v>
      </c>
    </row>
    <row r="5" spans="1:77">
      <c r="A5" s="3" t="s">
        <v>153</v>
      </c>
      <c r="B5" s="4">
        <v>46120.333333333336</v>
      </c>
      <c r="C5" s="5">
        <v>43</v>
      </c>
      <c r="D5" s="5">
        <v>18</v>
      </c>
      <c r="E5" s="5">
        <v>1050.7</v>
      </c>
      <c r="F5" s="5">
        <v>34.8</v>
      </c>
      <c r="G5" s="5"/>
      <c r="H5" s="5">
        <v>52.25</v>
      </c>
      <c r="I5" s="5">
        <v>65.459999999999994</v>
      </c>
      <c r="J5" s="5">
        <v>29</v>
      </c>
      <c r="K5" s="5">
        <v>38</v>
      </c>
      <c r="L5" s="5">
        <v>60.16</v>
      </c>
      <c r="M5" s="5">
        <v>2.9</v>
      </c>
      <c r="N5" s="5">
        <v>58</v>
      </c>
      <c r="O5" s="3"/>
      <c r="P5" s="5">
        <v>120</v>
      </c>
      <c r="Q5" s="5">
        <v>-0.3</v>
      </c>
      <c r="R5" s="3"/>
      <c r="S5" s="3"/>
      <c r="T5" s="3"/>
      <c r="U5" s="3"/>
      <c r="V5" s="3"/>
      <c r="W5" s="3"/>
      <c r="X5" s="3"/>
      <c r="Y5" s="3"/>
      <c r="Z5" s="3"/>
      <c r="AA5" s="3" t="s">
        <v>28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122</v>
      </c>
      <c r="AG5" s="3" t="s">
        <v>30</v>
      </c>
      <c r="AH5" s="3"/>
      <c r="AI5" s="3"/>
      <c r="AJ5" s="3"/>
      <c r="AK5" s="3">
        <v>13</v>
      </c>
      <c r="AL5" s="3"/>
      <c r="AM5" s="3"/>
      <c r="AN5" s="3">
        <v>35.71</v>
      </c>
      <c r="AO5" s="3">
        <v>17.2</v>
      </c>
      <c r="AP5" s="3">
        <v>117.71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137</v>
      </c>
      <c r="BS5" s="3" t="s">
        <v>138</v>
      </c>
      <c r="BT5" s="3" t="s">
        <v>139</v>
      </c>
      <c r="BU5" s="3" t="s">
        <v>140</v>
      </c>
      <c r="BV5" s="3" t="s">
        <v>141</v>
      </c>
      <c r="BW5" s="3">
        <v>2</v>
      </c>
      <c r="BX5" s="3" t="s">
        <v>142</v>
      </c>
      <c r="BY5" s="3" t="s">
        <v>143</v>
      </c>
    </row>
    <row r="6" spans="1:77">
      <c r="A6" s="3" t="s">
        <v>156</v>
      </c>
      <c r="B6" s="4">
        <v>46120.625</v>
      </c>
      <c r="C6" s="5">
        <v>50</v>
      </c>
      <c r="D6" s="5">
        <v>18</v>
      </c>
      <c r="E6" s="5">
        <v>1044.3</v>
      </c>
      <c r="F6" s="5">
        <v>58.83</v>
      </c>
      <c r="G6" s="5">
        <v>6.3299999999999912E-2</v>
      </c>
      <c r="H6" s="5">
        <v>45.2</v>
      </c>
      <c r="I6" s="5">
        <v>59.539999999999992</v>
      </c>
      <c r="J6" s="5">
        <v>19</v>
      </c>
      <c r="K6" s="5">
        <v>0</v>
      </c>
      <c r="L6" s="5">
        <v>19</v>
      </c>
      <c r="M6" s="5">
        <v>3.58</v>
      </c>
      <c r="N6" s="5">
        <v>52</v>
      </c>
      <c r="O6" s="3"/>
      <c r="P6" s="5">
        <v>138</v>
      </c>
      <c r="Q6" s="5">
        <v>3.87</v>
      </c>
      <c r="R6" s="3"/>
      <c r="S6" s="3"/>
      <c r="T6" s="3"/>
      <c r="U6" s="3"/>
      <c r="V6" s="3"/>
      <c r="W6" s="3"/>
      <c r="X6" s="3"/>
      <c r="Y6" s="3"/>
      <c r="Z6" s="3"/>
      <c r="AA6" s="3" t="s">
        <v>28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122</v>
      </c>
      <c r="AG6" s="3" t="s">
        <v>30</v>
      </c>
      <c r="AH6" s="3"/>
      <c r="AI6" s="3"/>
      <c r="AJ6" s="3"/>
      <c r="AK6" s="3">
        <v>11.6</v>
      </c>
      <c r="AL6" s="3"/>
      <c r="AM6" s="3"/>
      <c r="AN6" s="3">
        <v>59.52</v>
      </c>
      <c r="AO6" s="3">
        <v>25.68</v>
      </c>
      <c r="AP6" s="3">
        <v>104.74</v>
      </c>
      <c r="AQ6" s="3"/>
      <c r="AR6" s="3">
        <v>4.17</v>
      </c>
      <c r="AS6" s="3">
        <v>3.87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5.5206999999999997</v>
      </c>
      <c r="BB6" s="3">
        <v>5.5839999999999996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3.87</v>
      </c>
      <c r="BK6" s="3">
        <v>12.5</v>
      </c>
      <c r="BL6" s="3">
        <v>897.74264017476332</v>
      </c>
      <c r="BM6" s="3">
        <v>9102.2573598252366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137</v>
      </c>
      <c r="BS6" s="3" t="s">
        <v>138</v>
      </c>
      <c r="BT6" s="3" t="s">
        <v>139</v>
      </c>
      <c r="BU6" s="3" t="s">
        <v>140</v>
      </c>
      <c r="BV6" s="3" t="s">
        <v>141</v>
      </c>
      <c r="BW6" s="3">
        <v>2</v>
      </c>
      <c r="BX6" s="3" t="s">
        <v>142</v>
      </c>
      <c r="BY6" s="3" t="s">
        <v>143</v>
      </c>
    </row>
    <row r="7" spans="1:77">
      <c r="A7" s="3" t="s">
        <v>160</v>
      </c>
      <c r="B7" s="4">
        <v>46121.333333333336</v>
      </c>
      <c r="C7" s="5">
        <v>67</v>
      </c>
      <c r="D7" s="5">
        <v>18</v>
      </c>
      <c r="E7" s="5">
        <v>1032.3</v>
      </c>
      <c r="F7" s="5">
        <v>57.76</v>
      </c>
      <c r="G7" s="5"/>
      <c r="H7" s="5">
        <v>26.84</v>
      </c>
      <c r="I7" s="5">
        <v>48.19</v>
      </c>
      <c r="J7" s="5">
        <v>5</v>
      </c>
      <c r="K7" s="5">
        <v>0</v>
      </c>
      <c r="L7" s="5">
        <v>5</v>
      </c>
      <c r="M7" s="5">
        <v>4.47</v>
      </c>
      <c r="N7" s="5">
        <v>35</v>
      </c>
      <c r="O7" s="3"/>
      <c r="P7" s="5">
        <v>126</v>
      </c>
      <c r="Q7" s="5">
        <v>-0.3</v>
      </c>
      <c r="R7" s="3" t="s">
        <v>119</v>
      </c>
      <c r="S7" s="3"/>
      <c r="T7" s="3"/>
      <c r="U7" s="3"/>
      <c r="V7" s="3"/>
      <c r="W7" s="3"/>
      <c r="X7" s="3"/>
      <c r="Y7" s="3"/>
      <c r="Z7" s="3"/>
      <c r="AA7" s="3" t="s">
        <v>28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122</v>
      </c>
      <c r="AG7" s="3" t="s">
        <v>30</v>
      </c>
      <c r="AH7" s="3" t="s">
        <v>162</v>
      </c>
      <c r="AI7" s="3">
        <v>51</v>
      </c>
      <c r="AJ7" s="3" t="s">
        <v>163</v>
      </c>
      <c r="AK7" s="3">
        <v>8.5</v>
      </c>
      <c r="AL7" s="3"/>
      <c r="AM7" s="3"/>
      <c r="AN7" s="3">
        <v>57.91</v>
      </c>
      <c r="AO7" s="3">
        <v>22.81</v>
      </c>
      <c r="AP7" s="3">
        <v>75.03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137</v>
      </c>
      <c r="BS7" s="3" t="s">
        <v>138</v>
      </c>
      <c r="BT7" s="3" t="s">
        <v>139</v>
      </c>
      <c r="BU7" s="3" t="s">
        <v>140</v>
      </c>
      <c r="BV7" s="3" t="s">
        <v>141</v>
      </c>
      <c r="BW7" s="3">
        <v>2</v>
      </c>
      <c r="BX7" s="3" t="s">
        <v>142</v>
      </c>
      <c r="BY7" s="3" t="s">
        <v>143</v>
      </c>
    </row>
    <row r="8" spans="1:77">
      <c r="A8" s="3" t="s">
        <v>165</v>
      </c>
      <c r="B8" s="4">
        <v>46121.625</v>
      </c>
      <c r="C8" s="5">
        <v>74</v>
      </c>
      <c r="D8" s="5">
        <v>18</v>
      </c>
      <c r="E8" s="5">
        <v>1022.5</v>
      </c>
      <c r="F8" s="5">
        <v>56.3</v>
      </c>
      <c r="G8" s="5"/>
      <c r="H8" s="5">
        <v>18.850000000000001</v>
      </c>
      <c r="I8" s="5">
        <v>38.6</v>
      </c>
      <c r="J8" s="5">
        <v>17</v>
      </c>
      <c r="K8" s="5">
        <v>23</v>
      </c>
      <c r="L8" s="5">
        <v>35.86</v>
      </c>
      <c r="M8" s="5">
        <v>4.43</v>
      </c>
      <c r="N8" s="5">
        <v>37</v>
      </c>
      <c r="O8" s="3"/>
      <c r="P8" s="5">
        <v>127</v>
      </c>
      <c r="Q8" s="5">
        <v>-0.3</v>
      </c>
      <c r="R8" s="3"/>
      <c r="S8" s="3"/>
      <c r="T8" s="3"/>
      <c r="U8" s="3"/>
      <c r="V8" s="3"/>
      <c r="W8" s="3"/>
      <c r="X8" s="3"/>
      <c r="Y8" s="3"/>
      <c r="Z8" s="3"/>
      <c r="AA8" s="3" t="s">
        <v>28</v>
      </c>
      <c r="AB8" s="3">
        <v>46269.625</v>
      </c>
      <c r="AC8" s="3" t="s">
        <v>166</v>
      </c>
      <c r="AD8" s="3" t="s">
        <v>29</v>
      </c>
      <c r="AE8" s="5" t="s">
        <v>121</v>
      </c>
      <c r="AF8" s="5" t="s">
        <v>122</v>
      </c>
      <c r="AG8" s="3" t="s">
        <v>30</v>
      </c>
      <c r="AH8" s="3"/>
      <c r="AI8" s="3"/>
      <c r="AJ8" s="3"/>
      <c r="AK8" s="3">
        <v>6.1</v>
      </c>
      <c r="AL8" s="3"/>
      <c r="AM8" s="3"/>
      <c r="AN8" s="3">
        <v>56.37</v>
      </c>
      <c r="AO8" s="3">
        <v>23.02</v>
      </c>
      <c r="AP8" s="3">
        <v>57.45</v>
      </c>
      <c r="AQ8" s="3"/>
      <c r="AR8" s="3"/>
      <c r="AS8" s="3">
        <v>-0.3</v>
      </c>
      <c r="AT8" s="5" t="s">
        <v>146</v>
      </c>
      <c r="AU8" s="3" t="s">
        <v>167</v>
      </c>
      <c r="AV8" s="3" t="s">
        <v>127</v>
      </c>
      <c r="AW8" s="3">
        <v>15</v>
      </c>
      <c r="AX8" s="3" t="s">
        <v>148</v>
      </c>
      <c r="AY8" s="3" t="s">
        <v>149</v>
      </c>
      <c r="AZ8" s="3" t="s">
        <v>130</v>
      </c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>
        <v>2026</v>
      </c>
      <c r="BO8" s="3" t="s">
        <v>134</v>
      </c>
      <c r="BP8" s="3" t="s">
        <v>135</v>
      </c>
      <c r="BQ8" s="3" t="s">
        <v>136</v>
      </c>
      <c r="BR8" s="3" t="s">
        <v>137</v>
      </c>
      <c r="BS8" s="3" t="s">
        <v>138</v>
      </c>
      <c r="BT8" s="3" t="s">
        <v>139</v>
      </c>
      <c r="BU8" s="3" t="s">
        <v>140</v>
      </c>
      <c r="BV8" s="3" t="s">
        <v>141</v>
      </c>
      <c r="BW8" s="3">
        <v>2</v>
      </c>
      <c r="BX8" s="3" t="s">
        <v>142</v>
      </c>
      <c r="BY8" s="3" t="s">
        <v>143</v>
      </c>
    </row>
    <row r="9" spans="1:77">
      <c r="A9" s="3" t="s">
        <v>168</v>
      </c>
      <c r="B9" s="4">
        <v>46122.333333333336</v>
      </c>
      <c r="C9" s="5">
        <v>91</v>
      </c>
      <c r="D9" s="5">
        <v>18</v>
      </c>
      <c r="E9" s="5">
        <v>1014.3</v>
      </c>
      <c r="F9" s="5">
        <v>65.209999999999994</v>
      </c>
      <c r="G9" s="5">
        <v>0.10492999999999952</v>
      </c>
      <c r="H9" s="5">
        <v>8.7200000000000006</v>
      </c>
      <c r="I9" s="5">
        <v>27.939999999999998</v>
      </c>
      <c r="J9" s="5">
        <v>9</v>
      </c>
      <c r="K9" s="5">
        <v>0</v>
      </c>
      <c r="L9" s="5">
        <v>9</v>
      </c>
      <c r="M9" s="5">
        <v>5.7</v>
      </c>
      <c r="N9" s="5">
        <v>30</v>
      </c>
      <c r="O9" s="3"/>
      <c r="P9" s="5">
        <v>128</v>
      </c>
      <c r="Q9" s="5">
        <v>8.0699999999999985</v>
      </c>
      <c r="R9" s="3"/>
      <c r="S9" s="3"/>
      <c r="T9" s="3"/>
      <c r="U9" s="3"/>
      <c r="V9" s="3"/>
      <c r="W9" s="3"/>
      <c r="X9" s="3"/>
      <c r="Y9" s="3"/>
      <c r="Z9" s="3"/>
      <c r="AA9" s="3" t="s">
        <v>28</v>
      </c>
      <c r="AB9" s="3">
        <v>46299.333333333336</v>
      </c>
      <c r="AC9" s="3" t="s">
        <v>169</v>
      </c>
      <c r="AD9" s="3" t="s">
        <v>29</v>
      </c>
      <c r="AE9" s="5" t="s">
        <v>121</v>
      </c>
      <c r="AF9" s="5" t="s">
        <v>122</v>
      </c>
      <c r="AG9" s="3" t="s">
        <v>30</v>
      </c>
      <c r="AH9" s="3"/>
      <c r="AI9" s="3"/>
      <c r="AJ9" s="3"/>
      <c r="AK9" s="3">
        <v>4.0999999999999996</v>
      </c>
      <c r="AL9" s="3"/>
      <c r="AM9" s="3"/>
      <c r="AN9" s="3">
        <v>65.819999999999993</v>
      </c>
      <c r="AO9" s="3">
        <v>17.04</v>
      </c>
      <c r="AP9" s="3">
        <v>36.659999999999997</v>
      </c>
      <c r="AQ9" s="3"/>
      <c r="AR9" s="3">
        <v>8.3699999999999992</v>
      </c>
      <c r="AS9" s="3">
        <v>8.0699999999999985</v>
      </c>
      <c r="AT9" s="5" t="s">
        <v>125</v>
      </c>
      <c r="AU9" s="3" t="s">
        <v>170</v>
      </c>
      <c r="AV9" s="3" t="s">
        <v>127</v>
      </c>
      <c r="AW9" s="3">
        <v>50</v>
      </c>
      <c r="AX9" s="3" t="s">
        <v>128</v>
      </c>
      <c r="AY9" s="3" t="s">
        <v>159</v>
      </c>
      <c r="AZ9" s="3" t="s">
        <v>130</v>
      </c>
      <c r="BA9" s="3">
        <v>5.5430700000000002</v>
      </c>
      <c r="BB9" s="3">
        <v>5.6479999999999997</v>
      </c>
      <c r="BC9" s="3" t="s">
        <v>131</v>
      </c>
      <c r="BD9" s="3" t="s">
        <v>132</v>
      </c>
      <c r="BE9" s="3" t="s">
        <v>133</v>
      </c>
      <c r="BF9" s="3"/>
      <c r="BG9" s="3"/>
      <c r="BH9" s="3">
        <v>10</v>
      </c>
      <c r="BI9" s="3">
        <v>0</v>
      </c>
      <c r="BJ9" s="3">
        <v>8.0699999999999985</v>
      </c>
      <c r="BK9" s="3">
        <v>12.5</v>
      </c>
      <c r="BL9" s="3">
        <v>481.88839334276088</v>
      </c>
      <c r="BM9" s="3">
        <v>9518.1116066572395</v>
      </c>
      <c r="BN9" s="5">
        <v>2026</v>
      </c>
      <c r="BO9" s="3" t="s">
        <v>134</v>
      </c>
      <c r="BP9" s="3" t="s">
        <v>135</v>
      </c>
      <c r="BQ9" s="3" t="s">
        <v>136</v>
      </c>
      <c r="BR9" s="3" t="s">
        <v>137</v>
      </c>
      <c r="BS9" s="3" t="s">
        <v>138</v>
      </c>
      <c r="BT9" s="3" t="s">
        <v>139</v>
      </c>
      <c r="BU9" s="3" t="s">
        <v>140</v>
      </c>
      <c r="BV9" s="3" t="s">
        <v>141</v>
      </c>
      <c r="BW9" s="3">
        <v>2</v>
      </c>
      <c r="BX9" s="3" t="s">
        <v>142</v>
      </c>
      <c r="BY9" s="3" t="s">
        <v>143</v>
      </c>
    </row>
    <row r="10" spans="1:77">
      <c r="A10" s="3" t="s">
        <v>171</v>
      </c>
      <c r="B10" s="4">
        <v>46122.625</v>
      </c>
      <c r="C10" s="5">
        <v>98</v>
      </c>
      <c r="D10" s="5">
        <v>18</v>
      </c>
      <c r="E10" s="5">
        <v>1009.3</v>
      </c>
      <c r="F10" s="5">
        <v>68.05</v>
      </c>
      <c r="G10" s="5"/>
      <c r="H10" s="5">
        <v>5.28</v>
      </c>
      <c r="I10" s="5">
        <v>23.02</v>
      </c>
      <c r="J10" s="5">
        <v>7</v>
      </c>
      <c r="K10" s="5">
        <v>0</v>
      </c>
      <c r="L10" s="5">
        <v>7</v>
      </c>
      <c r="M10" s="5">
        <v>5.68</v>
      </c>
      <c r="N10" s="5">
        <v>32</v>
      </c>
      <c r="O10" s="3"/>
      <c r="P10" s="5">
        <v>112</v>
      </c>
      <c r="Q10" s="5">
        <v>-0.3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28</v>
      </c>
      <c r="AB10" s="3">
        <v>46299.625</v>
      </c>
      <c r="AC10" s="3" t="s">
        <v>172</v>
      </c>
      <c r="AD10" s="3" t="s">
        <v>29</v>
      </c>
      <c r="AE10" s="5" t="s">
        <v>121</v>
      </c>
      <c r="AF10" s="5" t="s">
        <v>122</v>
      </c>
      <c r="AG10" s="3" t="s">
        <v>30</v>
      </c>
      <c r="AH10" s="3"/>
      <c r="AI10" s="3"/>
      <c r="AJ10" s="3"/>
      <c r="AK10" s="3">
        <v>2.9</v>
      </c>
      <c r="AL10" s="3"/>
      <c r="AM10" s="3"/>
      <c r="AN10" s="3">
        <v>69.510000000000005</v>
      </c>
      <c r="AO10" s="3">
        <v>9.61</v>
      </c>
      <c r="AP10" s="3">
        <v>28.3</v>
      </c>
      <c r="AQ10" s="3"/>
      <c r="AR10" s="3"/>
      <c r="AS10" s="3">
        <v>-0.3</v>
      </c>
      <c r="AT10" s="5" t="s">
        <v>146</v>
      </c>
      <c r="AU10" s="3" t="s">
        <v>173</v>
      </c>
      <c r="AV10" s="3" t="s">
        <v>127</v>
      </c>
      <c r="AW10" s="3">
        <v>15</v>
      </c>
      <c r="AX10" s="3" t="s">
        <v>148</v>
      </c>
      <c r="AY10" s="3" t="s">
        <v>149</v>
      </c>
      <c r="AZ10" s="3" t="s">
        <v>130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">
        <v>2026</v>
      </c>
      <c r="BO10" s="3" t="s">
        <v>134</v>
      </c>
      <c r="BP10" s="3" t="s">
        <v>135</v>
      </c>
      <c r="BQ10" s="3" t="s">
        <v>136</v>
      </c>
      <c r="BR10" s="3" t="s">
        <v>137</v>
      </c>
      <c r="BS10" s="3" t="s">
        <v>138</v>
      </c>
      <c r="BT10" s="3" t="s">
        <v>139</v>
      </c>
      <c r="BU10" s="3" t="s">
        <v>140</v>
      </c>
      <c r="BV10" s="3" t="s">
        <v>141</v>
      </c>
      <c r="BW10" s="3">
        <v>2</v>
      </c>
      <c r="BX10" s="3" t="s">
        <v>142</v>
      </c>
      <c r="BY10" s="3" t="s">
        <v>143</v>
      </c>
    </row>
    <row r="11" spans="1:77">
      <c r="A11" s="3" t="s">
        <v>174</v>
      </c>
      <c r="B11" s="4">
        <v>46123.333333333336</v>
      </c>
      <c r="C11" s="5">
        <v>115</v>
      </c>
      <c r="D11" s="5">
        <v>21</v>
      </c>
      <c r="E11" s="5">
        <v>998.8</v>
      </c>
      <c r="F11" s="5"/>
      <c r="G11" s="5"/>
      <c r="H11" s="5">
        <v>0.46</v>
      </c>
      <c r="I11" s="5">
        <v>6.19</v>
      </c>
      <c r="J11" s="5">
        <v>43</v>
      </c>
      <c r="K11" s="5">
        <v>0</v>
      </c>
      <c r="L11" s="5">
        <v>43</v>
      </c>
      <c r="M11" s="5">
        <v>6.62</v>
      </c>
      <c r="N11" s="5">
        <v>23</v>
      </c>
      <c r="O11" s="3"/>
      <c r="P11" s="5">
        <v>104</v>
      </c>
      <c r="Q11" s="5">
        <v>-0.3</v>
      </c>
      <c r="R11" s="3"/>
      <c r="S11" s="3"/>
      <c r="T11" s="3"/>
      <c r="U11" s="3"/>
      <c r="V11" s="3"/>
      <c r="W11" s="3"/>
      <c r="X11" s="3"/>
      <c r="Y11" s="3"/>
      <c r="Z11" s="3"/>
      <c r="AA11" s="3" t="s">
        <v>28</v>
      </c>
      <c r="AB11" s="3">
        <v>46330.333333333336</v>
      </c>
      <c r="AC11" s="3" t="s">
        <v>175</v>
      </c>
      <c r="AD11" s="3" t="s">
        <v>29</v>
      </c>
      <c r="AE11" s="5" t="s">
        <v>176</v>
      </c>
      <c r="AF11" s="5" t="s">
        <v>177</v>
      </c>
      <c r="AG11" s="3" t="s">
        <v>30</v>
      </c>
      <c r="AH11" s="3"/>
      <c r="AI11" s="3"/>
      <c r="AJ11" s="3"/>
      <c r="AK11" s="3">
        <v>0.3</v>
      </c>
      <c r="AL11" s="3"/>
      <c r="AM11" s="3"/>
      <c r="AN11" s="3"/>
      <c r="AO11" s="3"/>
      <c r="AP11" s="3">
        <v>6.65</v>
      </c>
      <c r="AQ11" s="3"/>
      <c r="AR11" s="3"/>
      <c r="AS11" s="3">
        <v>-0.3</v>
      </c>
      <c r="AT11" s="5" t="s">
        <v>146</v>
      </c>
      <c r="AU11" s="3" t="s">
        <v>178</v>
      </c>
      <c r="AV11" s="3" t="s">
        <v>127</v>
      </c>
      <c r="AW11" s="3">
        <v>15</v>
      </c>
      <c r="AX11" s="3" t="s">
        <v>148</v>
      </c>
      <c r="AY11" s="3" t="s">
        <v>149</v>
      </c>
      <c r="AZ11" s="3" t="s">
        <v>130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137</v>
      </c>
      <c r="BS11" s="3" t="s">
        <v>138</v>
      </c>
      <c r="BT11" s="3" t="s">
        <v>139</v>
      </c>
      <c r="BU11" s="3" t="s">
        <v>140</v>
      </c>
      <c r="BV11" s="3" t="s">
        <v>141</v>
      </c>
      <c r="BW11" s="3">
        <v>2</v>
      </c>
      <c r="BX11" s="3" t="s">
        <v>142</v>
      </c>
      <c r="BY11" s="3" t="s">
        <v>143</v>
      </c>
    </row>
    <row r="12" spans="1:77">
      <c r="A12" s="3" t="s">
        <v>179</v>
      </c>
      <c r="B12" s="4">
        <v>46123.625</v>
      </c>
      <c r="C12" s="5">
        <v>122</v>
      </c>
      <c r="D12" s="5">
        <v>21</v>
      </c>
      <c r="E12" s="5">
        <v>994.4</v>
      </c>
      <c r="F12" s="5">
        <v>68.05</v>
      </c>
      <c r="G12" s="5"/>
      <c r="H12" s="5">
        <v>0.15</v>
      </c>
      <c r="I12" s="5">
        <v>3.54</v>
      </c>
      <c r="J12" s="5">
        <v>11</v>
      </c>
      <c r="K12" s="5">
        <v>0</v>
      </c>
      <c r="L12" s="5">
        <v>11</v>
      </c>
      <c r="M12" s="5">
        <v>6.4</v>
      </c>
      <c r="N12" s="5">
        <v>21</v>
      </c>
      <c r="O12" s="3"/>
      <c r="P12" s="5">
        <v>107</v>
      </c>
      <c r="Q12" s="5">
        <v>-0.3</v>
      </c>
      <c r="R12" s="3"/>
      <c r="S12" s="3"/>
      <c r="T12" s="3"/>
      <c r="U12" s="3"/>
      <c r="V12" s="3"/>
      <c r="W12" s="3"/>
      <c r="X12" s="3"/>
      <c r="Y12" s="3"/>
      <c r="Z12" s="3"/>
      <c r="AA12" s="3" t="s">
        <v>28</v>
      </c>
      <c r="AB12" s="3">
        <v>46330.625</v>
      </c>
      <c r="AC12" s="3" t="s">
        <v>180</v>
      </c>
      <c r="AD12" s="3" t="s">
        <v>29</v>
      </c>
      <c r="AE12" s="5" t="s">
        <v>176</v>
      </c>
      <c r="AF12" s="5" t="s">
        <v>177</v>
      </c>
      <c r="AG12" s="3" t="s">
        <v>30</v>
      </c>
      <c r="AH12" s="3"/>
      <c r="AI12" s="3"/>
      <c r="AJ12" s="3"/>
      <c r="AK12" s="3">
        <v>-0.9</v>
      </c>
      <c r="AL12" s="3"/>
      <c r="AM12" s="3"/>
      <c r="AN12" s="3">
        <v>70.12</v>
      </c>
      <c r="AO12" s="3">
        <v>8.8699999999999992</v>
      </c>
      <c r="AP12" s="3">
        <v>3.69</v>
      </c>
      <c r="AQ12" s="3"/>
      <c r="AR12" s="3"/>
      <c r="AS12" s="3">
        <v>-0.3</v>
      </c>
      <c r="AT12" s="5" t="s">
        <v>146</v>
      </c>
      <c r="AU12" s="3" t="s">
        <v>181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137</v>
      </c>
      <c r="BS12" s="3" t="s">
        <v>138</v>
      </c>
      <c r="BT12" s="3" t="s">
        <v>139</v>
      </c>
      <c r="BU12" s="3" t="s">
        <v>140</v>
      </c>
      <c r="BV12" s="3" t="s">
        <v>141</v>
      </c>
      <c r="BW12" s="3">
        <v>2</v>
      </c>
      <c r="BX12" s="3" t="s">
        <v>142</v>
      </c>
      <c r="BY12" s="3" t="s">
        <v>143</v>
      </c>
    </row>
    <row r="13" spans="1:77">
      <c r="A13" s="3" t="s">
        <v>182</v>
      </c>
      <c r="B13" s="4">
        <v>46124.625</v>
      </c>
      <c r="C13" s="5">
        <v>146</v>
      </c>
      <c r="D13" s="5">
        <v>21</v>
      </c>
      <c r="E13" s="5">
        <v>994.9</v>
      </c>
      <c r="F13" s="5"/>
      <c r="G13" s="5">
        <v>0.10000000000000053</v>
      </c>
      <c r="H13" s="5">
        <v>0.04</v>
      </c>
      <c r="I13" s="5">
        <v>0.10999999999999999</v>
      </c>
      <c r="J13" s="5">
        <v>25</v>
      </c>
      <c r="K13" s="5">
        <v>0</v>
      </c>
      <c r="L13" s="5">
        <v>25</v>
      </c>
      <c r="M13" s="5">
        <v>6.15</v>
      </c>
      <c r="N13" s="5">
        <v>19</v>
      </c>
      <c r="O13" s="3"/>
      <c r="P13" s="5">
        <v>106</v>
      </c>
      <c r="Q13" s="5">
        <v>10.58</v>
      </c>
      <c r="R13" s="3"/>
      <c r="S13" s="3"/>
      <c r="T13" s="3"/>
      <c r="U13" s="3"/>
      <c r="V13" s="3"/>
      <c r="W13" s="3"/>
      <c r="X13" s="3"/>
      <c r="Y13" s="3"/>
      <c r="Z13" s="3"/>
      <c r="AA13" s="3" t="s">
        <v>28</v>
      </c>
      <c r="AB13" s="3">
        <v>46360.625</v>
      </c>
      <c r="AC13" s="3" t="s">
        <v>183</v>
      </c>
      <c r="AD13" s="3" t="s">
        <v>29</v>
      </c>
      <c r="AE13" s="5" t="s">
        <v>176</v>
      </c>
      <c r="AF13" s="5" t="s">
        <v>177</v>
      </c>
      <c r="AG13" s="3" t="s">
        <v>30</v>
      </c>
      <c r="AH13" s="3"/>
      <c r="AI13" s="3"/>
      <c r="AJ13" s="3"/>
      <c r="AK13" s="3">
        <v>22.6</v>
      </c>
      <c r="AL13" s="3"/>
      <c r="AM13" s="3"/>
      <c r="AN13" s="3"/>
      <c r="AO13" s="3"/>
      <c r="AP13" s="3">
        <v>0.15</v>
      </c>
      <c r="AQ13" s="3"/>
      <c r="AR13" s="3">
        <v>10.88</v>
      </c>
      <c r="AS13" s="3">
        <v>10.58</v>
      </c>
      <c r="AT13" s="5" t="s">
        <v>125</v>
      </c>
      <c r="AU13" s="3" t="s">
        <v>184</v>
      </c>
      <c r="AV13" s="3" t="s">
        <v>127</v>
      </c>
      <c r="AW13" s="3">
        <v>50</v>
      </c>
      <c r="AX13" s="3" t="s">
        <v>128</v>
      </c>
      <c r="AY13" s="3" t="s">
        <v>159</v>
      </c>
      <c r="AZ13" s="3" t="s">
        <v>130</v>
      </c>
      <c r="BA13" s="3">
        <v>5.56</v>
      </c>
      <c r="BB13" s="3">
        <v>5.66</v>
      </c>
      <c r="BC13" s="3" t="s">
        <v>131</v>
      </c>
      <c r="BD13" s="3" t="s">
        <v>132</v>
      </c>
      <c r="BE13" s="3" t="s">
        <v>133</v>
      </c>
      <c r="BF13" s="3"/>
      <c r="BG13" s="3"/>
      <c r="BH13" s="3">
        <v>10</v>
      </c>
      <c r="BI13" s="3">
        <v>0</v>
      </c>
      <c r="BJ13" s="3">
        <v>10.58</v>
      </c>
      <c r="BK13" s="3">
        <v>12.5</v>
      </c>
      <c r="BL13" s="3">
        <v>214.71706553343776</v>
      </c>
      <c r="BM13" s="3">
        <v>9785.2829344665624</v>
      </c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137</v>
      </c>
      <c r="BS13" s="3" t="s">
        <v>138</v>
      </c>
      <c r="BT13" s="3" t="s">
        <v>139</v>
      </c>
      <c r="BU13" s="3" t="s">
        <v>140</v>
      </c>
      <c r="BV13" s="3" t="s">
        <v>141</v>
      </c>
      <c r="BW13" s="3">
        <v>2</v>
      </c>
      <c r="BX13" s="3" t="s">
        <v>142</v>
      </c>
      <c r="BY13" s="3" t="s">
        <v>143</v>
      </c>
    </row>
    <row r="14" spans="1:77">
      <c r="A14" s="3" t="s">
        <v>185</v>
      </c>
      <c r="B14" s="4">
        <v>46125.333333333336</v>
      </c>
      <c r="C14" s="5">
        <v>163</v>
      </c>
      <c r="D14" s="5">
        <v>21</v>
      </c>
      <c r="E14" s="5">
        <v>994.9</v>
      </c>
      <c r="F14" s="5">
        <v>70.89</v>
      </c>
      <c r="G14" s="5">
        <v>8.8999999999999524E-2</v>
      </c>
      <c r="H14" s="5">
        <v>0</v>
      </c>
      <c r="I14" s="5">
        <v>0.06</v>
      </c>
      <c r="J14" s="5">
        <v>26</v>
      </c>
      <c r="K14" s="5">
        <v>3</v>
      </c>
      <c r="L14" s="5">
        <v>28.46</v>
      </c>
      <c r="M14" s="5">
        <v>6.28</v>
      </c>
      <c r="N14" s="5">
        <v>22</v>
      </c>
      <c r="O14" s="3"/>
      <c r="P14" s="5">
        <v>93</v>
      </c>
      <c r="Q14" s="5">
        <v>10.44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28</v>
      </c>
      <c r="AB14" s="3" t="s">
        <v>186</v>
      </c>
      <c r="AC14" s="3" t="s">
        <v>187</v>
      </c>
      <c r="AD14" s="3" t="s">
        <v>29</v>
      </c>
      <c r="AE14" s="5" t="s">
        <v>176</v>
      </c>
      <c r="AF14" s="5" t="s">
        <v>177</v>
      </c>
      <c r="AG14" s="3" t="s">
        <v>30</v>
      </c>
      <c r="AH14" s="3"/>
      <c r="AI14" s="3"/>
      <c r="AJ14" s="3"/>
      <c r="AK14" s="3">
        <v>-0.8</v>
      </c>
      <c r="AL14" s="3"/>
      <c r="AM14" s="3"/>
      <c r="AN14" s="3">
        <v>71.430000000000007</v>
      </c>
      <c r="AO14" s="3">
        <v>19.89</v>
      </c>
      <c r="AP14" s="3">
        <v>0.06</v>
      </c>
      <c r="AQ14" s="3"/>
      <c r="AR14" s="3">
        <v>10.74</v>
      </c>
      <c r="AS14" s="3">
        <v>10.44</v>
      </c>
      <c r="AT14" s="5" t="s">
        <v>125</v>
      </c>
      <c r="AU14" s="3" t="s">
        <v>188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5.556</v>
      </c>
      <c r="BB14" s="3">
        <v>5.6449999999999996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10.44</v>
      </c>
      <c r="BK14" s="3">
        <v>12.5</v>
      </c>
      <c r="BL14" s="3">
        <v>230.01339883876739</v>
      </c>
      <c r="BM14" s="3">
        <v>9769.9866011612321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137</v>
      </c>
      <c r="BS14" s="3" t="s">
        <v>138</v>
      </c>
      <c r="BT14" s="3" t="s">
        <v>139</v>
      </c>
      <c r="BU14" s="3" t="s">
        <v>140</v>
      </c>
      <c r="BV14" s="3" t="s">
        <v>141</v>
      </c>
      <c r="BW14" s="3">
        <v>2</v>
      </c>
      <c r="BX14" s="3" t="s">
        <v>142</v>
      </c>
      <c r="BY14" s="3" t="s">
        <v>143</v>
      </c>
    </row>
    <row r="15" spans="1:77">
      <c r="A15" s="3" t="s">
        <v>189</v>
      </c>
      <c r="B15" s="4">
        <v>46118.541666666664</v>
      </c>
      <c r="C15" s="5">
        <v>0</v>
      </c>
      <c r="D15" s="5">
        <v>18</v>
      </c>
      <c r="E15" s="5">
        <v>1066.7</v>
      </c>
      <c r="F15" s="5">
        <v>16.440000000000001</v>
      </c>
      <c r="G15" s="5">
        <v>5.9899999999999842E-2</v>
      </c>
      <c r="H15" s="5">
        <v>77.709999999999994</v>
      </c>
      <c r="I15" s="5">
        <v>87.95</v>
      </c>
      <c r="J15" s="5">
        <v>92</v>
      </c>
      <c r="K15" s="5">
        <v>165</v>
      </c>
      <c r="L15" s="5">
        <v>227.29999999999998</v>
      </c>
      <c r="M15" s="5">
        <v>1.0900000000000001</v>
      </c>
      <c r="N15" s="5">
        <v>6</v>
      </c>
      <c r="O15" s="3"/>
      <c r="P15" s="5">
        <v>52</v>
      </c>
      <c r="Q15" s="5">
        <v>1.24</v>
      </c>
      <c r="R15" s="3" t="s">
        <v>119</v>
      </c>
      <c r="S15" s="3"/>
      <c r="T15" s="3"/>
      <c r="U15" s="3"/>
      <c r="V15" s="3"/>
      <c r="W15" s="3"/>
      <c r="X15" s="3"/>
      <c r="Y15" s="3"/>
      <c r="Z15" s="3"/>
      <c r="AA15" s="3" t="s">
        <v>31</v>
      </c>
      <c r="AB15" s="3">
        <v>46177.541666666664</v>
      </c>
      <c r="AC15" s="3" t="s">
        <v>120</v>
      </c>
      <c r="AD15" s="3" t="s">
        <v>29</v>
      </c>
      <c r="AE15" s="5" t="s">
        <v>121</v>
      </c>
      <c r="AF15" s="5" t="s">
        <v>122</v>
      </c>
      <c r="AG15" s="3" t="s">
        <v>30</v>
      </c>
      <c r="AH15" s="3" t="s">
        <v>190</v>
      </c>
      <c r="AI15" s="3">
        <v>0</v>
      </c>
      <c r="AJ15" s="3" t="s">
        <v>124</v>
      </c>
      <c r="AK15" s="3">
        <v>16.899999999999999</v>
      </c>
      <c r="AL15" s="3"/>
      <c r="AM15" s="3"/>
      <c r="AN15" s="3">
        <v>16.97</v>
      </c>
      <c r="AO15" s="3">
        <v>25.34</v>
      </c>
      <c r="AP15" s="3">
        <v>165.66</v>
      </c>
      <c r="AQ15" s="3"/>
      <c r="AR15" s="3">
        <v>1.54</v>
      </c>
      <c r="AS15" s="3">
        <v>1.24</v>
      </c>
      <c r="AT15" s="5" t="s">
        <v>125</v>
      </c>
      <c r="AU15" s="3" t="s">
        <v>126</v>
      </c>
      <c r="AV15" s="3" t="s">
        <v>127</v>
      </c>
      <c r="AW15" s="3">
        <v>50</v>
      </c>
      <c r="AX15" s="3" t="s">
        <v>128</v>
      </c>
      <c r="AY15" s="3" t="s">
        <v>129</v>
      </c>
      <c r="AZ15" s="3" t="s">
        <v>130</v>
      </c>
      <c r="BA15" s="3">
        <v>5.4591000000000003</v>
      </c>
      <c r="BB15" s="3">
        <v>5.5190000000000001</v>
      </c>
      <c r="BC15" s="3" t="s">
        <v>131</v>
      </c>
      <c r="BD15" s="3" t="s">
        <v>132</v>
      </c>
      <c r="BE15" s="3" t="s">
        <v>133</v>
      </c>
      <c r="BF15" s="3"/>
      <c r="BG15" s="3"/>
      <c r="BH15" s="3">
        <v>10</v>
      </c>
      <c r="BI15" s="3">
        <v>0</v>
      </c>
      <c r="BJ15" s="3">
        <v>1.24</v>
      </c>
      <c r="BK15" s="3">
        <v>12.5</v>
      </c>
      <c r="BL15" s="3">
        <v>1140.1377075739165</v>
      </c>
      <c r="BM15" s="3">
        <v>8859.8622924260835</v>
      </c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191</v>
      </c>
      <c r="BS15" s="3" t="s">
        <v>138</v>
      </c>
      <c r="BT15" s="3" t="s">
        <v>192</v>
      </c>
      <c r="BU15" s="3" t="s">
        <v>140</v>
      </c>
      <c r="BV15" s="3" t="s">
        <v>141</v>
      </c>
      <c r="BW15" s="3">
        <v>2</v>
      </c>
      <c r="BX15" s="3" t="s">
        <v>193</v>
      </c>
      <c r="BY15" s="3" t="s">
        <v>143</v>
      </c>
    </row>
    <row r="16" spans="1:77">
      <c r="A16" s="3" t="s">
        <v>194</v>
      </c>
      <c r="B16" s="4">
        <v>46119.333333333336</v>
      </c>
      <c r="C16" s="5">
        <v>19</v>
      </c>
      <c r="D16" s="5">
        <v>18</v>
      </c>
      <c r="E16" s="5">
        <v>1064.4000000000001</v>
      </c>
      <c r="F16" s="5">
        <v>21.54</v>
      </c>
      <c r="G16" s="5"/>
      <c r="H16" s="5">
        <v>70.760000000000005</v>
      </c>
      <c r="I16" s="5">
        <v>71.95</v>
      </c>
      <c r="J16" s="5">
        <v>71</v>
      </c>
      <c r="K16" s="5">
        <v>147</v>
      </c>
      <c r="L16" s="5">
        <v>191.54</v>
      </c>
      <c r="M16" s="5">
        <v>8.19</v>
      </c>
      <c r="N16" s="5">
        <v>22</v>
      </c>
      <c r="O16" s="3"/>
      <c r="P16" s="5">
        <v>121</v>
      </c>
      <c r="Q16" s="5">
        <v>-0.3</v>
      </c>
      <c r="R16" s="3"/>
      <c r="S16" s="3"/>
      <c r="T16" s="3"/>
      <c r="U16" s="3"/>
      <c r="V16" s="3"/>
      <c r="W16" s="3"/>
      <c r="X16" s="3"/>
      <c r="Y16" s="3"/>
      <c r="Z16" s="3"/>
      <c r="AA16" s="3" t="s">
        <v>31</v>
      </c>
      <c r="AB16" s="3">
        <v>46207.333333333336</v>
      </c>
      <c r="AC16" s="3" t="s">
        <v>145</v>
      </c>
      <c r="AD16" s="3" t="s">
        <v>29</v>
      </c>
      <c r="AE16" s="5" t="s">
        <v>121</v>
      </c>
      <c r="AF16" s="5" t="s">
        <v>122</v>
      </c>
      <c r="AG16" s="3" t="s">
        <v>30</v>
      </c>
      <c r="AH16" s="3"/>
      <c r="AI16" s="3"/>
      <c r="AJ16" s="3"/>
      <c r="AK16" s="3">
        <v>16.3</v>
      </c>
      <c r="AL16" s="3"/>
      <c r="AM16" s="3"/>
      <c r="AN16" s="3">
        <v>21.7</v>
      </c>
      <c r="AO16" s="3">
        <v>32.04</v>
      </c>
      <c r="AP16" s="3">
        <v>142.71</v>
      </c>
      <c r="AQ16" s="3"/>
      <c r="AR16" s="3"/>
      <c r="AS16" s="3">
        <v>-0.3</v>
      </c>
      <c r="AT16" s="5" t="s">
        <v>146</v>
      </c>
      <c r="AU16" s="3" t="s">
        <v>147</v>
      </c>
      <c r="AV16" s="3" t="s">
        <v>127</v>
      </c>
      <c r="AW16" s="3">
        <v>15</v>
      </c>
      <c r="AX16" s="3" t="s">
        <v>148</v>
      </c>
      <c r="AY16" s="3" t="s">
        <v>149</v>
      </c>
      <c r="AZ16" s="3" t="s">
        <v>130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5">
        <v>2026</v>
      </c>
      <c r="BO16" s="3" t="s">
        <v>134</v>
      </c>
      <c r="BP16" s="3" t="s">
        <v>135</v>
      </c>
      <c r="BQ16" s="3" t="s">
        <v>136</v>
      </c>
      <c r="BR16" s="3" t="s">
        <v>191</v>
      </c>
      <c r="BS16" s="3" t="s">
        <v>138</v>
      </c>
      <c r="BT16" s="3" t="s">
        <v>192</v>
      </c>
      <c r="BU16" s="3" t="s">
        <v>140</v>
      </c>
      <c r="BV16" s="3" t="s">
        <v>141</v>
      </c>
      <c r="BW16" s="3">
        <v>2</v>
      </c>
      <c r="BX16" s="3" t="s">
        <v>193</v>
      </c>
      <c r="BY16" s="3" t="s">
        <v>143</v>
      </c>
    </row>
    <row r="17" spans="1:77">
      <c r="A17" s="3" t="s">
        <v>195</v>
      </c>
      <c r="B17" s="4">
        <v>46119.625</v>
      </c>
      <c r="C17" s="5">
        <v>26</v>
      </c>
      <c r="D17" s="5">
        <v>18</v>
      </c>
      <c r="E17" s="5">
        <v>1060.9000000000001</v>
      </c>
      <c r="F17" s="5">
        <v>25.35</v>
      </c>
      <c r="G17" s="5"/>
      <c r="H17" s="5">
        <v>66.58</v>
      </c>
      <c r="I17" s="5">
        <v>71.73</v>
      </c>
      <c r="J17" s="5">
        <v>50</v>
      </c>
      <c r="K17" s="5">
        <v>132</v>
      </c>
      <c r="L17" s="5">
        <v>158.24</v>
      </c>
      <c r="M17" s="5">
        <v>1.28</v>
      </c>
      <c r="N17" s="5">
        <v>41</v>
      </c>
      <c r="O17" s="3"/>
      <c r="P17" s="5">
        <v>112</v>
      </c>
      <c r="Q17" s="5">
        <v>-0.3</v>
      </c>
      <c r="R17" s="3"/>
      <c r="S17" s="3"/>
      <c r="T17" s="3"/>
      <c r="U17" s="3"/>
      <c r="V17" s="3"/>
      <c r="W17" s="3"/>
      <c r="X17" s="3"/>
      <c r="Y17" s="3"/>
      <c r="Z17" s="3"/>
      <c r="AA17" s="3" t="s">
        <v>31</v>
      </c>
      <c r="AB17" s="3">
        <v>46207.625</v>
      </c>
      <c r="AC17" s="3" t="s">
        <v>151</v>
      </c>
      <c r="AD17" s="3" t="s">
        <v>29</v>
      </c>
      <c r="AE17" s="5" t="s">
        <v>121</v>
      </c>
      <c r="AF17" s="5" t="s">
        <v>122</v>
      </c>
      <c r="AG17" s="3" t="s">
        <v>30</v>
      </c>
      <c r="AH17" s="3"/>
      <c r="AI17" s="3"/>
      <c r="AJ17" s="3"/>
      <c r="AK17" s="3">
        <v>15.6</v>
      </c>
      <c r="AL17" s="3"/>
      <c r="AM17" s="3"/>
      <c r="AN17" s="3">
        <v>25.42</v>
      </c>
      <c r="AO17" s="3">
        <v>33.229999999999997</v>
      </c>
      <c r="AP17" s="3">
        <v>138.31</v>
      </c>
      <c r="AQ17" s="3"/>
      <c r="AR17" s="3"/>
      <c r="AS17" s="3">
        <v>-0.3</v>
      </c>
      <c r="AT17" s="5" t="s">
        <v>146</v>
      </c>
      <c r="AU17" s="3" t="s">
        <v>152</v>
      </c>
      <c r="AV17" s="3" t="s">
        <v>127</v>
      </c>
      <c r="AW17" s="3">
        <v>15</v>
      </c>
      <c r="AX17" s="3" t="s">
        <v>148</v>
      </c>
      <c r="AY17" s="3" t="s">
        <v>149</v>
      </c>
      <c r="AZ17" s="3" t="s">
        <v>130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5">
        <v>2026</v>
      </c>
      <c r="BO17" s="3" t="s">
        <v>134</v>
      </c>
      <c r="BP17" s="3" t="s">
        <v>135</v>
      </c>
      <c r="BQ17" s="3" t="s">
        <v>136</v>
      </c>
      <c r="BR17" s="3" t="s">
        <v>191</v>
      </c>
      <c r="BS17" s="3" t="s">
        <v>138</v>
      </c>
      <c r="BT17" s="3" t="s">
        <v>192</v>
      </c>
      <c r="BU17" s="3" t="s">
        <v>140</v>
      </c>
      <c r="BV17" s="3" t="s">
        <v>141</v>
      </c>
      <c r="BW17" s="3">
        <v>2</v>
      </c>
      <c r="BX17" s="3" t="s">
        <v>193</v>
      </c>
      <c r="BY17" s="3" t="s">
        <v>143</v>
      </c>
    </row>
    <row r="18" spans="1:77">
      <c r="A18" s="3" t="s">
        <v>196</v>
      </c>
      <c r="B18" s="4">
        <v>46120.333333333336</v>
      </c>
      <c r="C18" s="5">
        <v>43</v>
      </c>
      <c r="D18" s="5">
        <v>18</v>
      </c>
      <c r="E18" s="5">
        <v>1050.3</v>
      </c>
      <c r="F18" s="5">
        <v>51.92</v>
      </c>
      <c r="G18" s="5"/>
      <c r="H18" s="5">
        <v>49.85</v>
      </c>
      <c r="I18" s="5">
        <v>61.559999999999995</v>
      </c>
      <c r="J18" s="5">
        <v>27</v>
      </c>
      <c r="K18" s="5">
        <v>32</v>
      </c>
      <c r="L18" s="5">
        <v>53.239999999999995</v>
      </c>
      <c r="M18" s="5">
        <v>2.87</v>
      </c>
      <c r="N18" s="5">
        <v>53</v>
      </c>
      <c r="O18" s="3"/>
      <c r="P18" s="5">
        <v>121</v>
      </c>
      <c r="Q18" s="5">
        <v>-0.3</v>
      </c>
      <c r="R18" s="3"/>
      <c r="S18" s="3"/>
      <c r="T18" s="3"/>
      <c r="U18" s="3"/>
      <c r="V18" s="3"/>
      <c r="W18" s="3"/>
      <c r="X18" s="3"/>
      <c r="Y18" s="3"/>
      <c r="Z18" s="3"/>
      <c r="AA18" s="3" t="s">
        <v>31</v>
      </c>
      <c r="AB18" s="3">
        <v>46238.333333333336</v>
      </c>
      <c r="AC18" s="3" t="s">
        <v>154</v>
      </c>
      <c r="AD18" s="3" t="s">
        <v>29</v>
      </c>
      <c r="AE18" s="5" t="s">
        <v>121</v>
      </c>
      <c r="AF18" s="5" t="s">
        <v>122</v>
      </c>
      <c r="AG18" s="3" t="s">
        <v>30</v>
      </c>
      <c r="AH18" s="3"/>
      <c r="AI18" s="3"/>
      <c r="AJ18" s="3"/>
      <c r="AK18" s="3">
        <v>12.9</v>
      </c>
      <c r="AL18" s="3"/>
      <c r="AM18" s="3"/>
      <c r="AN18" s="3">
        <v>52.69</v>
      </c>
      <c r="AO18" s="3">
        <v>19.100000000000001</v>
      </c>
      <c r="AP18" s="3">
        <v>111.41</v>
      </c>
      <c r="AQ18" s="3"/>
      <c r="AR18" s="3"/>
      <c r="AS18" s="3">
        <v>-0.3</v>
      </c>
      <c r="AT18" s="5" t="s">
        <v>146</v>
      </c>
      <c r="AU18" s="3" t="s">
        <v>155</v>
      </c>
      <c r="AV18" s="3" t="s">
        <v>127</v>
      </c>
      <c r="AW18" s="3">
        <v>15</v>
      </c>
      <c r="AX18" s="3" t="s">
        <v>148</v>
      </c>
      <c r="AY18" s="3" t="s">
        <v>149</v>
      </c>
      <c r="AZ18" s="3" t="s">
        <v>130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5">
        <v>2026</v>
      </c>
      <c r="BO18" s="3" t="s">
        <v>134</v>
      </c>
      <c r="BP18" s="3" t="s">
        <v>135</v>
      </c>
      <c r="BQ18" s="3" t="s">
        <v>136</v>
      </c>
      <c r="BR18" s="3" t="s">
        <v>191</v>
      </c>
      <c r="BS18" s="3" t="s">
        <v>138</v>
      </c>
      <c r="BT18" s="3" t="s">
        <v>192</v>
      </c>
      <c r="BU18" s="3" t="s">
        <v>140</v>
      </c>
      <c r="BV18" s="3" t="s">
        <v>141</v>
      </c>
      <c r="BW18" s="3">
        <v>2</v>
      </c>
      <c r="BX18" s="3" t="s">
        <v>193</v>
      </c>
      <c r="BY18" s="3" t="s">
        <v>143</v>
      </c>
    </row>
    <row r="19" spans="1:77">
      <c r="A19" s="3" t="s">
        <v>197</v>
      </c>
      <c r="B19" s="4">
        <v>46120.625</v>
      </c>
      <c r="C19" s="5">
        <v>50</v>
      </c>
      <c r="D19" s="5">
        <v>18</v>
      </c>
      <c r="E19" s="5">
        <v>1043.8</v>
      </c>
      <c r="F19" s="5">
        <v>57.22</v>
      </c>
      <c r="G19" s="5">
        <v>0.1225000000000005</v>
      </c>
      <c r="H19" s="5">
        <v>44.05</v>
      </c>
      <c r="I19" s="5">
        <v>60.540000000000006</v>
      </c>
      <c r="J19" s="5">
        <v>19</v>
      </c>
      <c r="K19" s="5">
        <v>0</v>
      </c>
      <c r="L19" s="5">
        <v>19</v>
      </c>
      <c r="M19" s="5">
        <v>3.58</v>
      </c>
      <c r="N19" s="5">
        <v>45</v>
      </c>
      <c r="O19" s="3"/>
      <c r="P19" s="5">
        <v>141</v>
      </c>
      <c r="Q19" s="5">
        <v>3.96</v>
      </c>
      <c r="R19" s="3"/>
      <c r="S19" s="3"/>
      <c r="T19" s="3"/>
      <c r="U19" s="3"/>
      <c r="V19" s="3"/>
      <c r="W19" s="3"/>
      <c r="X19" s="3"/>
      <c r="Y19" s="3"/>
      <c r="Z19" s="3"/>
      <c r="AA19" s="3" t="s">
        <v>31</v>
      </c>
      <c r="AB19" s="3">
        <v>46238.625</v>
      </c>
      <c r="AC19" s="3" t="s">
        <v>157</v>
      </c>
      <c r="AD19" s="3" t="s">
        <v>29</v>
      </c>
      <c r="AE19" s="5" t="s">
        <v>121</v>
      </c>
      <c r="AF19" s="5" t="s">
        <v>122</v>
      </c>
      <c r="AG19" s="3" t="s">
        <v>30</v>
      </c>
      <c r="AH19" s="3"/>
      <c r="AI19" s="3"/>
      <c r="AJ19" s="3"/>
      <c r="AK19" s="3">
        <v>11.5</v>
      </c>
      <c r="AL19" s="3"/>
      <c r="AM19" s="3"/>
      <c r="AN19" s="3">
        <v>57.53</v>
      </c>
      <c r="AO19" s="3">
        <v>27.1</v>
      </c>
      <c r="AP19" s="3">
        <v>104.59</v>
      </c>
      <c r="AQ19" s="3"/>
      <c r="AR19" s="3">
        <v>4.26</v>
      </c>
      <c r="AS19" s="3">
        <v>3.96</v>
      </c>
      <c r="AT19" s="5" t="s">
        <v>125</v>
      </c>
      <c r="AU19" s="3" t="s">
        <v>158</v>
      </c>
      <c r="AV19" s="3" t="s">
        <v>127</v>
      </c>
      <c r="AW19" s="3">
        <v>50</v>
      </c>
      <c r="AX19" s="3" t="s">
        <v>128</v>
      </c>
      <c r="AY19" s="3" t="s">
        <v>159</v>
      </c>
      <c r="AZ19" s="3" t="s">
        <v>130</v>
      </c>
      <c r="BA19" s="3">
        <v>5.5354999999999999</v>
      </c>
      <c r="BB19" s="3">
        <v>5.6580000000000004</v>
      </c>
      <c r="BC19" s="3" t="s">
        <v>131</v>
      </c>
      <c r="BD19" s="3" t="s">
        <v>132</v>
      </c>
      <c r="BE19" s="3" t="s">
        <v>133</v>
      </c>
      <c r="BF19" s="3"/>
      <c r="BG19" s="3"/>
      <c r="BH19" s="3">
        <v>10</v>
      </c>
      <c r="BI19" s="3">
        <v>0</v>
      </c>
      <c r="BJ19" s="3">
        <v>3.96</v>
      </c>
      <c r="BK19" s="3">
        <v>12.5</v>
      </c>
      <c r="BL19" s="3">
        <v>889.21282798833818</v>
      </c>
      <c r="BM19" s="3">
        <v>9110.7871720116618</v>
      </c>
      <c r="BN19" s="5">
        <v>2026</v>
      </c>
      <c r="BO19" s="3" t="s">
        <v>134</v>
      </c>
      <c r="BP19" s="3" t="s">
        <v>135</v>
      </c>
      <c r="BQ19" s="3" t="s">
        <v>136</v>
      </c>
      <c r="BR19" s="3" t="s">
        <v>191</v>
      </c>
      <c r="BS19" s="3" t="s">
        <v>138</v>
      </c>
      <c r="BT19" s="3" t="s">
        <v>192</v>
      </c>
      <c r="BU19" s="3" t="s">
        <v>140</v>
      </c>
      <c r="BV19" s="3" t="s">
        <v>141</v>
      </c>
      <c r="BW19" s="3">
        <v>2</v>
      </c>
      <c r="BX19" s="3" t="s">
        <v>193</v>
      </c>
      <c r="BY19" s="3" t="s">
        <v>143</v>
      </c>
    </row>
    <row r="20" spans="1:77">
      <c r="A20" s="3" t="s">
        <v>198</v>
      </c>
      <c r="B20" s="4">
        <v>46121.333333333336</v>
      </c>
      <c r="C20" s="5">
        <v>67</v>
      </c>
      <c r="D20" s="5">
        <v>18</v>
      </c>
      <c r="E20" s="5">
        <v>1031.0999999999999</v>
      </c>
      <c r="F20" s="5">
        <v>58.76</v>
      </c>
      <c r="G20" s="5"/>
      <c r="H20" s="5">
        <v>25.97</v>
      </c>
      <c r="I20" s="5">
        <v>47.91</v>
      </c>
      <c r="J20" s="5">
        <v>12</v>
      </c>
      <c r="K20" s="5">
        <v>0</v>
      </c>
      <c r="L20" s="5">
        <v>12</v>
      </c>
      <c r="M20" s="5">
        <v>4.5</v>
      </c>
      <c r="N20" s="5">
        <v>31</v>
      </c>
      <c r="O20" s="3"/>
      <c r="P20" s="5">
        <v>121</v>
      </c>
      <c r="Q20" s="5">
        <v>-0.3</v>
      </c>
      <c r="R20" s="3" t="s">
        <v>119</v>
      </c>
      <c r="S20" s="3"/>
      <c r="T20" s="3"/>
      <c r="U20" s="3"/>
      <c r="V20" s="3"/>
      <c r="W20" s="3"/>
      <c r="X20" s="3"/>
      <c r="Y20" s="3"/>
      <c r="Z20" s="3"/>
      <c r="AA20" s="3" t="s">
        <v>31</v>
      </c>
      <c r="AB20" s="3">
        <v>46269.333333333336</v>
      </c>
      <c r="AC20" s="3" t="s">
        <v>161</v>
      </c>
      <c r="AD20" s="3" t="s">
        <v>29</v>
      </c>
      <c r="AE20" s="5" t="s">
        <v>121</v>
      </c>
      <c r="AF20" s="5" t="s">
        <v>122</v>
      </c>
      <c r="AG20" s="3" t="s">
        <v>30</v>
      </c>
      <c r="AH20" s="3" t="s">
        <v>199</v>
      </c>
      <c r="AI20" s="3">
        <v>51</v>
      </c>
      <c r="AJ20" s="3" t="s">
        <v>163</v>
      </c>
      <c r="AK20" s="3">
        <v>8.1999999999999993</v>
      </c>
      <c r="AL20" s="3"/>
      <c r="AM20" s="3"/>
      <c r="AN20" s="3">
        <v>58.83</v>
      </c>
      <c r="AO20" s="3">
        <v>23.89</v>
      </c>
      <c r="AP20" s="3">
        <v>73.88</v>
      </c>
      <c r="AQ20" s="3"/>
      <c r="AR20" s="3"/>
      <c r="AS20" s="3">
        <v>-0.3</v>
      </c>
      <c r="AT20" s="5" t="s">
        <v>146</v>
      </c>
      <c r="AU20" s="3" t="s">
        <v>164</v>
      </c>
      <c r="AV20" s="3" t="s">
        <v>127</v>
      </c>
      <c r="AW20" s="3">
        <v>15</v>
      </c>
      <c r="AX20" s="3" t="s">
        <v>148</v>
      </c>
      <c r="AY20" s="3" t="s">
        <v>149</v>
      </c>
      <c r="AZ20" s="3" t="s">
        <v>130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5">
        <v>2026</v>
      </c>
      <c r="BO20" s="3" t="s">
        <v>134</v>
      </c>
      <c r="BP20" s="3" t="s">
        <v>135</v>
      </c>
      <c r="BQ20" s="3" t="s">
        <v>136</v>
      </c>
      <c r="BR20" s="3" t="s">
        <v>191</v>
      </c>
      <c r="BS20" s="3" t="s">
        <v>138</v>
      </c>
      <c r="BT20" s="3" t="s">
        <v>192</v>
      </c>
      <c r="BU20" s="3" t="s">
        <v>140</v>
      </c>
      <c r="BV20" s="3" t="s">
        <v>141</v>
      </c>
      <c r="BW20" s="3">
        <v>2</v>
      </c>
      <c r="BX20" s="3" t="s">
        <v>193</v>
      </c>
      <c r="BY20" s="3" t="s">
        <v>143</v>
      </c>
    </row>
    <row r="21" spans="1:77">
      <c r="A21" s="3" t="s">
        <v>200</v>
      </c>
      <c r="B21" s="4">
        <v>46121.625</v>
      </c>
      <c r="C21" s="5">
        <v>74</v>
      </c>
      <c r="D21" s="5">
        <v>18</v>
      </c>
      <c r="E21" s="5">
        <v>1025.5</v>
      </c>
      <c r="F21" s="5">
        <v>66.59</v>
      </c>
      <c r="G21" s="5"/>
      <c r="H21" s="5">
        <v>20.27</v>
      </c>
      <c r="I21" s="5">
        <v>43.31</v>
      </c>
      <c r="J21" s="5">
        <v>16</v>
      </c>
      <c r="K21" s="5">
        <v>24</v>
      </c>
      <c r="L21" s="5">
        <v>35.68</v>
      </c>
      <c r="M21" s="5">
        <v>4.96</v>
      </c>
      <c r="N21" s="5">
        <v>33</v>
      </c>
      <c r="O21" s="3"/>
      <c r="P21" s="5">
        <v>136</v>
      </c>
      <c r="Q21" s="5">
        <v>-0.3</v>
      </c>
      <c r="R21" s="3"/>
      <c r="S21" s="3"/>
      <c r="T21" s="3"/>
      <c r="U21" s="3"/>
      <c r="V21" s="3"/>
      <c r="W21" s="3"/>
      <c r="X21" s="3"/>
      <c r="Y21" s="3"/>
      <c r="Z21" s="3"/>
      <c r="AA21" s="3" t="s">
        <v>31</v>
      </c>
      <c r="AB21" s="3">
        <v>46269.625</v>
      </c>
      <c r="AC21" s="3" t="s">
        <v>166</v>
      </c>
      <c r="AD21" s="3" t="s">
        <v>29</v>
      </c>
      <c r="AE21" s="5" t="s">
        <v>121</v>
      </c>
      <c r="AF21" s="5" t="s">
        <v>122</v>
      </c>
      <c r="AG21" s="3" t="s">
        <v>30</v>
      </c>
      <c r="AH21" s="3"/>
      <c r="AI21" s="3"/>
      <c r="AJ21" s="3"/>
      <c r="AK21" s="3">
        <v>7.1</v>
      </c>
      <c r="AL21" s="3"/>
      <c r="AM21" s="3"/>
      <c r="AN21" s="3">
        <v>66.819999999999993</v>
      </c>
      <c r="AO21" s="3">
        <v>16.55</v>
      </c>
      <c r="AP21" s="3">
        <v>63.58</v>
      </c>
      <c r="AQ21" s="3"/>
      <c r="AR21" s="3"/>
      <c r="AS21" s="3">
        <v>-0.3</v>
      </c>
      <c r="AT21" s="5" t="s">
        <v>146</v>
      </c>
      <c r="AU21" s="3" t="s">
        <v>167</v>
      </c>
      <c r="AV21" s="3" t="s">
        <v>127</v>
      </c>
      <c r="AW21" s="3">
        <v>15</v>
      </c>
      <c r="AX21" s="3" t="s">
        <v>148</v>
      </c>
      <c r="AY21" s="3" t="s">
        <v>149</v>
      </c>
      <c r="AZ21" s="3" t="s">
        <v>130</v>
      </c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5">
        <v>2026</v>
      </c>
      <c r="BO21" s="3" t="s">
        <v>134</v>
      </c>
      <c r="BP21" s="3" t="s">
        <v>135</v>
      </c>
      <c r="BQ21" s="3" t="s">
        <v>136</v>
      </c>
      <c r="BR21" s="3" t="s">
        <v>191</v>
      </c>
      <c r="BS21" s="3" t="s">
        <v>138</v>
      </c>
      <c r="BT21" s="3" t="s">
        <v>192</v>
      </c>
      <c r="BU21" s="3" t="s">
        <v>140</v>
      </c>
      <c r="BV21" s="3" t="s">
        <v>141</v>
      </c>
      <c r="BW21" s="3">
        <v>2</v>
      </c>
      <c r="BX21" s="3" t="s">
        <v>193</v>
      </c>
      <c r="BY21" s="3" t="s">
        <v>143</v>
      </c>
    </row>
    <row r="22" spans="1:77">
      <c r="A22" s="3" t="s">
        <v>201</v>
      </c>
      <c r="B22" s="4">
        <v>46122.333333333336</v>
      </c>
      <c r="C22" s="5">
        <v>91</v>
      </c>
      <c r="D22" s="5">
        <v>18</v>
      </c>
      <c r="E22" s="5">
        <v>1014.8</v>
      </c>
      <c r="F22" s="5">
        <v>61.21</v>
      </c>
      <c r="G22" s="5">
        <v>0.11454999999999949</v>
      </c>
      <c r="H22" s="5">
        <v>9.32</v>
      </c>
      <c r="I22" s="5">
        <v>29.299999999999997</v>
      </c>
      <c r="J22" s="5">
        <v>11</v>
      </c>
      <c r="K22" s="5">
        <v>0</v>
      </c>
      <c r="L22" s="5">
        <v>11</v>
      </c>
      <c r="M22" s="5">
        <v>5.61</v>
      </c>
      <c r="N22" s="5">
        <v>30</v>
      </c>
      <c r="O22" s="3"/>
      <c r="P22" s="5">
        <v>124</v>
      </c>
      <c r="Q22" s="5">
        <v>7.8500000000000005</v>
      </c>
      <c r="R22" s="3"/>
      <c r="S22" s="3"/>
      <c r="T22" s="3"/>
      <c r="U22" s="3"/>
      <c r="V22" s="3"/>
      <c r="W22" s="3"/>
      <c r="X22" s="3"/>
      <c r="Y22" s="3"/>
      <c r="Z22" s="3"/>
      <c r="AA22" s="3" t="s">
        <v>31</v>
      </c>
      <c r="AB22" s="3">
        <v>46299.333333333336</v>
      </c>
      <c r="AC22" s="3" t="s">
        <v>169</v>
      </c>
      <c r="AD22" s="3" t="s">
        <v>29</v>
      </c>
      <c r="AE22" s="5" t="s">
        <v>121</v>
      </c>
      <c r="AF22" s="5" t="s">
        <v>122</v>
      </c>
      <c r="AG22" s="3" t="s">
        <v>30</v>
      </c>
      <c r="AH22" s="3"/>
      <c r="AI22" s="3"/>
      <c r="AJ22" s="3"/>
      <c r="AK22" s="3">
        <v>4.2</v>
      </c>
      <c r="AL22" s="3"/>
      <c r="AM22" s="3"/>
      <c r="AN22" s="3">
        <v>61.52</v>
      </c>
      <c r="AO22" s="3">
        <v>19.350000000000001</v>
      </c>
      <c r="AP22" s="3">
        <v>38.619999999999997</v>
      </c>
      <c r="AQ22" s="3"/>
      <c r="AR22" s="3">
        <v>8.15</v>
      </c>
      <c r="AS22" s="3">
        <v>7.8500000000000005</v>
      </c>
      <c r="AT22" s="5" t="s">
        <v>125</v>
      </c>
      <c r="AU22" s="3" t="s">
        <v>170</v>
      </c>
      <c r="AV22" s="3" t="s">
        <v>127</v>
      </c>
      <c r="AW22" s="3">
        <v>50</v>
      </c>
      <c r="AX22" s="3" t="s">
        <v>128</v>
      </c>
      <c r="AY22" s="3" t="s">
        <v>159</v>
      </c>
      <c r="AZ22" s="3" t="s">
        <v>130</v>
      </c>
      <c r="BA22" s="3">
        <v>5.5284500000000003</v>
      </c>
      <c r="BB22" s="3">
        <v>5.6429999999999998</v>
      </c>
      <c r="BC22" s="3" t="s">
        <v>131</v>
      </c>
      <c r="BD22" s="3" t="s">
        <v>132</v>
      </c>
      <c r="BE22" s="3" t="s">
        <v>133</v>
      </c>
      <c r="BF22" s="3"/>
      <c r="BG22" s="3"/>
      <c r="BH22" s="3">
        <v>10</v>
      </c>
      <c r="BI22" s="3">
        <v>0</v>
      </c>
      <c r="BJ22" s="3">
        <v>7.8500000000000005</v>
      </c>
      <c r="BK22" s="3">
        <v>12.5</v>
      </c>
      <c r="BL22" s="3">
        <v>504.61204557786209</v>
      </c>
      <c r="BM22" s="3">
        <v>9495.3879544221381</v>
      </c>
      <c r="BN22" s="5">
        <v>2026</v>
      </c>
      <c r="BO22" s="3" t="s">
        <v>134</v>
      </c>
      <c r="BP22" s="3" t="s">
        <v>135</v>
      </c>
      <c r="BQ22" s="3" t="s">
        <v>136</v>
      </c>
      <c r="BR22" s="3" t="s">
        <v>191</v>
      </c>
      <c r="BS22" s="3" t="s">
        <v>138</v>
      </c>
      <c r="BT22" s="3" t="s">
        <v>192</v>
      </c>
      <c r="BU22" s="3" t="s">
        <v>140</v>
      </c>
      <c r="BV22" s="3" t="s">
        <v>141</v>
      </c>
      <c r="BW22" s="3">
        <v>2</v>
      </c>
      <c r="BX22" s="3" t="s">
        <v>193</v>
      </c>
      <c r="BY22" s="3" t="s">
        <v>143</v>
      </c>
    </row>
    <row r="23" spans="1:77">
      <c r="A23" s="3" t="s">
        <v>202</v>
      </c>
      <c r="B23" s="4">
        <v>46122.625</v>
      </c>
      <c r="C23" s="5">
        <v>98</v>
      </c>
      <c r="D23" s="5">
        <v>18</v>
      </c>
      <c r="E23" s="5">
        <v>1010.3</v>
      </c>
      <c r="F23" s="5">
        <v>71.2</v>
      </c>
      <c r="G23" s="5"/>
      <c r="H23" s="5">
        <v>6.3</v>
      </c>
      <c r="I23" s="5">
        <v>24.38</v>
      </c>
      <c r="J23" s="5">
        <v>10</v>
      </c>
      <c r="K23" s="5">
        <v>0</v>
      </c>
      <c r="L23" s="5">
        <v>10</v>
      </c>
      <c r="M23" s="5">
        <v>5.87</v>
      </c>
      <c r="N23" s="5">
        <v>21</v>
      </c>
      <c r="O23" s="3"/>
      <c r="P23" s="5">
        <v>115</v>
      </c>
      <c r="Q23" s="5">
        <v>-0.3</v>
      </c>
      <c r="R23" s="3"/>
      <c r="S23" s="3"/>
      <c r="T23" s="3"/>
      <c r="U23" s="3"/>
      <c r="V23" s="3"/>
      <c r="W23" s="3"/>
      <c r="X23" s="3"/>
      <c r="Y23" s="3"/>
      <c r="Z23" s="3"/>
      <c r="AA23" s="3" t="s">
        <v>31</v>
      </c>
      <c r="AB23" s="3">
        <v>46299.625</v>
      </c>
      <c r="AC23" s="3" t="s">
        <v>172</v>
      </c>
      <c r="AD23" s="3" t="s">
        <v>29</v>
      </c>
      <c r="AE23" s="5" t="s">
        <v>121</v>
      </c>
      <c r="AF23" s="5" t="s">
        <v>122</v>
      </c>
      <c r="AG23" s="3" t="s">
        <v>30</v>
      </c>
      <c r="AH23" s="3"/>
      <c r="AI23" s="3"/>
      <c r="AJ23" s="3"/>
      <c r="AK23" s="3">
        <v>3.1</v>
      </c>
      <c r="AL23" s="3"/>
      <c r="AM23" s="3"/>
      <c r="AN23" s="3">
        <v>72.27</v>
      </c>
      <c r="AO23" s="3">
        <v>12.43</v>
      </c>
      <c r="AP23" s="3">
        <v>30.68</v>
      </c>
      <c r="AQ23" s="3"/>
      <c r="AR23" s="3"/>
      <c r="AS23" s="3">
        <v>-0.3</v>
      </c>
      <c r="AT23" s="5" t="s">
        <v>146</v>
      </c>
      <c r="AU23" s="3" t="s">
        <v>173</v>
      </c>
      <c r="AV23" s="3" t="s">
        <v>127</v>
      </c>
      <c r="AW23" s="3">
        <v>15</v>
      </c>
      <c r="AX23" s="3" t="s">
        <v>148</v>
      </c>
      <c r="AY23" s="3" t="s">
        <v>149</v>
      </c>
      <c r="AZ23" s="3" t="s">
        <v>130</v>
      </c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5">
        <v>2026</v>
      </c>
      <c r="BO23" s="3" t="s">
        <v>134</v>
      </c>
      <c r="BP23" s="3" t="s">
        <v>135</v>
      </c>
      <c r="BQ23" s="3" t="s">
        <v>136</v>
      </c>
      <c r="BR23" s="3" t="s">
        <v>191</v>
      </c>
      <c r="BS23" s="3" t="s">
        <v>138</v>
      </c>
      <c r="BT23" s="3" t="s">
        <v>192</v>
      </c>
      <c r="BU23" s="3" t="s">
        <v>140</v>
      </c>
      <c r="BV23" s="3" t="s">
        <v>141</v>
      </c>
      <c r="BW23" s="3">
        <v>2</v>
      </c>
      <c r="BX23" s="3" t="s">
        <v>193</v>
      </c>
      <c r="BY23" s="3" t="s">
        <v>143</v>
      </c>
    </row>
    <row r="24" spans="1:77">
      <c r="A24" s="3" t="s">
        <v>203</v>
      </c>
      <c r="B24" s="4">
        <v>46123.333333333336</v>
      </c>
      <c r="C24" s="5">
        <v>115</v>
      </c>
      <c r="D24" s="5">
        <v>21</v>
      </c>
      <c r="E24" s="5">
        <v>999.5</v>
      </c>
      <c r="F24" s="5"/>
      <c r="G24" s="5"/>
      <c r="H24" s="5">
        <v>0.67</v>
      </c>
      <c r="I24" s="5">
        <v>7.5299999999999994</v>
      </c>
      <c r="J24" s="5">
        <v>46</v>
      </c>
      <c r="K24" s="5">
        <v>0</v>
      </c>
      <c r="L24" s="5">
        <v>46</v>
      </c>
      <c r="M24" s="5">
        <v>6.63</v>
      </c>
      <c r="N24" s="5">
        <v>22</v>
      </c>
      <c r="O24" s="3"/>
      <c r="P24" s="5">
        <v>106</v>
      </c>
      <c r="Q24" s="5">
        <v>-0.3</v>
      </c>
      <c r="R24" s="3"/>
      <c r="S24" s="3"/>
      <c r="T24" s="3"/>
      <c r="U24" s="3"/>
      <c r="V24" s="3"/>
      <c r="W24" s="3"/>
      <c r="X24" s="3"/>
      <c r="Y24" s="3"/>
      <c r="Z24" s="3"/>
      <c r="AA24" s="3" t="s">
        <v>31</v>
      </c>
      <c r="AB24" s="3">
        <v>46330.333333333336</v>
      </c>
      <c r="AC24" s="3" t="s">
        <v>175</v>
      </c>
      <c r="AD24" s="3" t="s">
        <v>29</v>
      </c>
      <c r="AE24" s="5" t="s">
        <v>176</v>
      </c>
      <c r="AF24" s="5" t="s">
        <v>204</v>
      </c>
      <c r="AG24" s="3" t="s">
        <v>30</v>
      </c>
      <c r="AH24" s="3"/>
      <c r="AI24" s="3"/>
      <c r="AJ24" s="3"/>
      <c r="AK24" s="3">
        <v>0.4</v>
      </c>
      <c r="AL24" s="3"/>
      <c r="AM24" s="3"/>
      <c r="AN24" s="3"/>
      <c r="AO24" s="3"/>
      <c r="AP24" s="3">
        <v>8.1999999999999993</v>
      </c>
      <c r="AQ24" s="3"/>
      <c r="AR24" s="3"/>
      <c r="AS24" s="3">
        <v>-0.3</v>
      </c>
      <c r="AT24" s="5" t="s">
        <v>146</v>
      </c>
      <c r="AU24" s="3" t="s">
        <v>178</v>
      </c>
      <c r="AV24" s="3" t="s">
        <v>127</v>
      </c>
      <c r="AW24" s="3">
        <v>15</v>
      </c>
      <c r="AX24" s="3" t="s">
        <v>148</v>
      </c>
      <c r="AY24" s="3" t="s">
        <v>149</v>
      </c>
      <c r="AZ24" s="3" t="s">
        <v>130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5">
        <v>2026</v>
      </c>
      <c r="BO24" s="3" t="s">
        <v>134</v>
      </c>
      <c r="BP24" s="3" t="s">
        <v>135</v>
      </c>
      <c r="BQ24" s="3" t="s">
        <v>136</v>
      </c>
      <c r="BR24" s="3" t="s">
        <v>191</v>
      </c>
      <c r="BS24" s="3" t="s">
        <v>138</v>
      </c>
      <c r="BT24" s="3" t="s">
        <v>192</v>
      </c>
      <c r="BU24" s="3" t="s">
        <v>140</v>
      </c>
      <c r="BV24" s="3" t="s">
        <v>141</v>
      </c>
      <c r="BW24" s="3">
        <v>2</v>
      </c>
      <c r="BX24" s="3" t="s">
        <v>193</v>
      </c>
      <c r="BY24" s="3" t="s">
        <v>143</v>
      </c>
    </row>
    <row r="25" spans="1:77">
      <c r="A25" s="3" t="s">
        <v>205</v>
      </c>
      <c r="B25" s="4">
        <v>46123.625</v>
      </c>
      <c r="C25" s="5">
        <v>122</v>
      </c>
      <c r="D25" s="5">
        <v>21</v>
      </c>
      <c r="E25" s="5">
        <v>995.5</v>
      </c>
      <c r="F25" s="5">
        <v>68.89</v>
      </c>
      <c r="G25" s="5"/>
      <c r="H25" s="5">
        <v>0.27</v>
      </c>
      <c r="I25" s="5">
        <v>4.7300000000000004</v>
      </c>
      <c r="J25" s="5">
        <v>14</v>
      </c>
      <c r="K25" s="5">
        <v>0</v>
      </c>
      <c r="L25" s="5">
        <v>14</v>
      </c>
      <c r="M25" s="5">
        <v>6.3</v>
      </c>
      <c r="N25" s="5">
        <v>19</v>
      </c>
      <c r="O25" s="3"/>
      <c r="P25" s="5">
        <v>109</v>
      </c>
      <c r="Q25" s="5">
        <v>-0.3</v>
      </c>
      <c r="R25" s="3"/>
      <c r="S25" s="3"/>
      <c r="T25" s="3"/>
      <c r="U25" s="3"/>
      <c r="V25" s="3"/>
      <c r="W25" s="3"/>
      <c r="X25" s="3"/>
      <c r="Y25" s="3"/>
      <c r="Z25" s="3"/>
      <c r="AA25" s="3" t="s">
        <v>31</v>
      </c>
      <c r="AB25" s="3">
        <v>46330.625</v>
      </c>
      <c r="AC25" s="3" t="s">
        <v>180</v>
      </c>
      <c r="AD25" s="3" t="s">
        <v>29</v>
      </c>
      <c r="AE25" s="5" t="s">
        <v>176</v>
      </c>
      <c r="AF25" s="5" t="s">
        <v>204</v>
      </c>
      <c r="AG25" s="3" t="s">
        <v>30</v>
      </c>
      <c r="AH25" s="3"/>
      <c r="AI25" s="3"/>
      <c r="AJ25" s="3"/>
      <c r="AK25" s="3">
        <v>-0.6</v>
      </c>
      <c r="AL25" s="3"/>
      <c r="AM25" s="3"/>
      <c r="AN25" s="3">
        <v>71.12</v>
      </c>
      <c r="AO25" s="3">
        <v>10.69</v>
      </c>
      <c r="AP25" s="3">
        <v>5</v>
      </c>
      <c r="AQ25" s="3"/>
      <c r="AR25" s="3"/>
      <c r="AS25" s="3">
        <v>-0.3</v>
      </c>
      <c r="AT25" s="5" t="s">
        <v>146</v>
      </c>
      <c r="AU25" s="3" t="s">
        <v>181</v>
      </c>
      <c r="AV25" s="3" t="s">
        <v>127</v>
      </c>
      <c r="AW25" s="3">
        <v>15</v>
      </c>
      <c r="AX25" s="3" t="s">
        <v>148</v>
      </c>
      <c r="AY25" s="3" t="s">
        <v>149</v>
      </c>
      <c r="AZ25" s="3" t="s">
        <v>130</v>
      </c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5">
        <v>2026</v>
      </c>
      <c r="BO25" s="3" t="s">
        <v>134</v>
      </c>
      <c r="BP25" s="3" t="s">
        <v>135</v>
      </c>
      <c r="BQ25" s="3" t="s">
        <v>136</v>
      </c>
      <c r="BR25" s="3" t="s">
        <v>191</v>
      </c>
      <c r="BS25" s="3" t="s">
        <v>138</v>
      </c>
      <c r="BT25" s="3" t="s">
        <v>192</v>
      </c>
      <c r="BU25" s="3" t="s">
        <v>140</v>
      </c>
      <c r="BV25" s="3" t="s">
        <v>141</v>
      </c>
      <c r="BW25" s="3">
        <v>2</v>
      </c>
      <c r="BX25" s="3" t="s">
        <v>193</v>
      </c>
      <c r="BY25" s="3" t="s">
        <v>143</v>
      </c>
    </row>
    <row r="26" spans="1:77">
      <c r="A26" s="3" t="s">
        <v>206</v>
      </c>
      <c r="B26" s="4">
        <v>46124.625</v>
      </c>
      <c r="C26" s="5">
        <v>146</v>
      </c>
      <c r="D26" s="5">
        <v>21</v>
      </c>
      <c r="E26" s="5">
        <v>994.9</v>
      </c>
      <c r="F26" s="5"/>
      <c r="G26" s="5">
        <v>0.10699999999999932</v>
      </c>
      <c r="H26" s="5">
        <v>0.03</v>
      </c>
      <c r="I26" s="5">
        <v>0.09</v>
      </c>
      <c r="J26" s="5">
        <v>27</v>
      </c>
      <c r="K26" s="5">
        <v>0</v>
      </c>
      <c r="L26" s="5">
        <v>27</v>
      </c>
      <c r="M26" s="5">
        <v>6.22</v>
      </c>
      <c r="N26" s="5">
        <v>20</v>
      </c>
      <c r="O26" s="3"/>
      <c r="P26" s="5">
        <v>111</v>
      </c>
      <c r="Q26" s="5">
        <v>10.639999999999999</v>
      </c>
      <c r="R26" s="3"/>
      <c r="S26" s="3"/>
      <c r="T26" s="3"/>
      <c r="U26" s="3"/>
      <c r="V26" s="3"/>
      <c r="W26" s="3"/>
      <c r="X26" s="3"/>
      <c r="Y26" s="3"/>
      <c r="Z26" s="3"/>
      <c r="AA26" s="3" t="s">
        <v>31</v>
      </c>
      <c r="AB26" s="3">
        <v>46360.625</v>
      </c>
      <c r="AC26" s="3" t="s">
        <v>183</v>
      </c>
      <c r="AD26" s="3" t="s">
        <v>29</v>
      </c>
      <c r="AE26" s="5" t="s">
        <v>176</v>
      </c>
      <c r="AF26" s="5" t="s">
        <v>204</v>
      </c>
      <c r="AG26" s="3" t="s">
        <v>30</v>
      </c>
      <c r="AH26" s="3"/>
      <c r="AI26" s="3"/>
      <c r="AJ26" s="3"/>
      <c r="AK26" s="3">
        <v>22.8</v>
      </c>
      <c r="AL26" s="3"/>
      <c r="AM26" s="3"/>
      <c r="AN26" s="3"/>
      <c r="AO26" s="3"/>
      <c r="AP26" s="3">
        <v>0.12</v>
      </c>
      <c r="AQ26" s="3"/>
      <c r="AR26" s="3">
        <v>10.94</v>
      </c>
      <c r="AS26" s="3">
        <v>10.639999999999999</v>
      </c>
      <c r="AT26" s="5" t="s">
        <v>125</v>
      </c>
      <c r="AU26" s="3" t="s">
        <v>184</v>
      </c>
      <c r="AV26" s="3" t="s">
        <v>127</v>
      </c>
      <c r="AW26" s="3">
        <v>50</v>
      </c>
      <c r="AX26" s="3" t="s">
        <v>128</v>
      </c>
      <c r="AY26" s="3" t="s">
        <v>159</v>
      </c>
      <c r="AZ26" s="3" t="s">
        <v>130</v>
      </c>
      <c r="BA26" s="3">
        <v>5.53</v>
      </c>
      <c r="BB26" s="3">
        <v>5.6369999999999996</v>
      </c>
      <c r="BC26" s="3" t="s">
        <v>131</v>
      </c>
      <c r="BD26" s="3" t="s">
        <v>132</v>
      </c>
      <c r="BE26" s="3" t="s">
        <v>133</v>
      </c>
      <c r="BF26" s="3"/>
      <c r="BG26" s="3"/>
      <c r="BH26" s="3">
        <v>10</v>
      </c>
      <c r="BI26" s="3">
        <v>0</v>
      </c>
      <c r="BJ26" s="3">
        <v>10.639999999999999</v>
      </c>
      <c r="BK26" s="3">
        <v>12.5</v>
      </c>
      <c r="BL26" s="3">
        <v>208.14682184422571</v>
      </c>
      <c r="BM26" s="3">
        <v>9791.853178155774</v>
      </c>
      <c r="BN26" s="5">
        <v>2026</v>
      </c>
      <c r="BO26" s="3" t="s">
        <v>134</v>
      </c>
      <c r="BP26" s="3" t="s">
        <v>135</v>
      </c>
      <c r="BQ26" s="3" t="s">
        <v>136</v>
      </c>
      <c r="BR26" s="3" t="s">
        <v>191</v>
      </c>
      <c r="BS26" s="3" t="s">
        <v>138</v>
      </c>
      <c r="BT26" s="3" t="s">
        <v>192</v>
      </c>
      <c r="BU26" s="3" t="s">
        <v>140</v>
      </c>
      <c r="BV26" s="3" t="s">
        <v>141</v>
      </c>
      <c r="BW26" s="3">
        <v>2</v>
      </c>
      <c r="BX26" s="3" t="s">
        <v>193</v>
      </c>
      <c r="BY26" s="3" t="s">
        <v>143</v>
      </c>
    </row>
    <row r="27" spans="1:77">
      <c r="A27" s="3" t="s">
        <v>207</v>
      </c>
      <c r="B27" s="4">
        <v>46125.333333333336</v>
      </c>
      <c r="C27" s="5">
        <v>163</v>
      </c>
      <c r="D27" s="5">
        <v>21</v>
      </c>
      <c r="E27" s="5">
        <v>995</v>
      </c>
      <c r="F27" s="5">
        <v>61.14</v>
      </c>
      <c r="G27" s="5">
        <v>9.2999999999999972E-2</v>
      </c>
      <c r="H27" s="5">
        <v>0</v>
      </c>
      <c r="I27" s="5">
        <v>0.01</v>
      </c>
      <c r="J27" s="5">
        <v>29</v>
      </c>
      <c r="K27" s="5">
        <v>4</v>
      </c>
      <c r="L27" s="5">
        <v>32.28</v>
      </c>
      <c r="M27" s="5">
        <v>6.17</v>
      </c>
      <c r="N27" s="5">
        <v>16</v>
      </c>
      <c r="O27" s="3"/>
      <c r="P27" s="5">
        <v>87</v>
      </c>
      <c r="Q27" s="5">
        <v>10.219999999999999</v>
      </c>
      <c r="R27" s="3"/>
      <c r="S27" s="3"/>
      <c r="T27" s="3"/>
      <c r="U27" s="3"/>
      <c r="V27" s="3"/>
      <c r="W27" s="3"/>
      <c r="X27" s="3"/>
      <c r="Y27" s="3"/>
      <c r="Z27" s="3"/>
      <c r="AA27" s="3" t="s">
        <v>31</v>
      </c>
      <c r="AB27" s="3" t="s">
        <v>186</v>
      </c>
      <c r="AC27" s="3" t="s">
        <v>187</v>
      </c>
      <c r="AD27" s="3" t="s">
        <v>29</v>
      </c>
      <c r="AE27" s="5" t="s">
        <v>176</v>
      </c>
      <c r="AF27" s="5" t="s">
        <v>204</v>
      </c>
      <c r="AG27" s="3" t="s">
        <v>30</v>
      </c>
      <c r="AH27" s="3"/>
      <c r="AI27" s="3"/>
      <c r="AJ27" s="3"/>
      <c r="AK27" s="3">
        <v>-0.8</v>
      </c>
      <c r="AL27" s="3"/>
      <c r="AM27" s="3"/>
      <c r="AN27" s="3">
        <v>61.44</v>
      </c>
      <c r="AO27" s="3">
        <v>22.75</v>
      </c>
      <c r="AP27" s="3">
        <v>0.01</v>
      </c>
      <c r="AQ27" s="3"/>
      <c r="AR27" s="3">
        <v>10.52</v>
      </c>
      <c r="AS27" s="3">
        <v>10.219999999999999</v>
      </c>
      <c r="AT27" s="5" t="s">
        <v>125</v>
      </c>
      <c r="AU27" s="3" t="s">
        <v>188</v>
      </c>
      <c r="AV27" s="3" t="s">
        <v>127</v>
      </c>
      <c r="AW27" s="3">
        <v>50</v>
      </c>
      <c r="AX27" s="3" t="s">
        <v>128</v>
      </c>
      <c r="AY27" s="3" t="s">
        <v>159</v>
      </c>
      <c r="AZ27" s="3" t="s">
        <v>130</v>
      </c>
      <c r="BA27" s="3">
        <v>5.6239999999999997</v>
      </c>
      <c r="BB27" s="3">
        <v>5.7169999999999996</v>
      </c>
      <c r="BC27" s="3" t="s">
        <v>131</v>
      </c>
      <c r="BD27" s="3" t="s">
        <v>132</v>
      </c>
      <c r="BE27" s="3" t="s">
        <v>133</v>
      </c>
      <c r="BF27" s="3"/>
      <c r="BG27" s="3"/>
      <c r="BH27" s="3">
        <v>10</v>
      </c>
      <c r="BI27" s="3">
        <v>0</v>
      </c>
      <c r="BJ27" s="3">
        <v>10.219999999999999</v>
      </c>
      <c r="BK27" s="3">
        <v>12.5</v>
      </c>
      <c r="BL27" s="3">
        <v>253.95411004678115</v>
      </c>
      <c r="BM27" s="3">
        <v>9746.0458899532186</v>
      </c>
      <c r="BN27" s="5">
        <v>2026</v>
      </c>
      <c r="BO27" s="3" t="s">
        <v>134</v>
      </c>
      <c r="BP27" s="3" t="s">
        <v>135</v>
      </c>
      <c r="BQ27" s="3" t="s">
        <v>136</v>
      </c>
      <c r="BR27" s="3" t="s">
        <v>191</v>
      </c>
      <c r="BS27" s="3" t="s">
        <v>138</v>
      </c>
      <c r="BT27" s="3" t="s">
        <v>192</v>
      </c>
      <c r="BU27" s="3" t="s">
        <v>140</v>
      </c>
      <c r="BV27" s="3" t="s">
        <v>141</v>
      </c>
      <c r="BW27" s="3">
        <v>2</v>
      </c>
      <c r="BX27" s="3" t="s">
        <v>193</v>
      </c>
      <c r="BY27" s="3" t="s">
        <v>143</v>
      </c>
    </row>
    <row r="28" spans="1:77">
      <c r="A28" s="3" t="s">
        <v>208</v>
      </c>
      <c r="B28" s="4">
        <v>46118.541666666664</v>
      </c>
      <c r="C28" s="5">
        <v>0</v>
      </c>
      <c r="D28" s="5">
        <v>16</v>
      </c>
      <c r="E28" s="5">
        <v>1066.7</v>
      </c>
      <c r="F28" s="5">
        <v>3.3</v>
      </c>
      <c r="G28" s="5">
        <v>4.3600000000000527E-2</v>
      </c>
      <c r="H28" s="5">
        <v>81.63</v>
      </c>
      <c r="I28" s="5">
        <v>75.81</v>
      </c>
      <c r="J28" s="5">
        <v>93</v>
      </c>
      <c r="K28" s="5">
        <v>166</v>
      </c>
      <c r="L28" s="5">
        <v>229.12</v>
      </c>
      <c r="M28" s="5">
        <v>1.17</v>
      </c>
      <c r="N28" s="5">
        <v>16</v>
      </c>
      <c r="O28" s="3"/>
      <c r="P28" s="5">
        <v>52</v>
      </c>
      <c r="Q28" s="5">
        <v>1.25</v>
      </c>
      <c r="R28" s="3" t="s">
        <v>119</v>
      </c>
      <c r="S28" s="3"/>
      <c r="T28" s="3"/>
      <c r="U28" s="3"/>
      <c r="V28" s="3"/>
      <c r="W28" s="3"/>
      <c r="X28" s="3"/>
      <c r="Y28" s="3"/>
      <c r="Z28" s="3"/>
      <c r="AA28" s="3" t="s">
        <v>32</v>
      </c>
      <c r="AB28" s="3">
        <v>46177.541666666664</v>
      </c>
      <c r="AC28" s="3" t="s">
        <v>120</v>
      </c>
      <c r="AD28" s="3" t="s">
        <v>29</v>
      </c>
      <c r="AE28" s="5" t="s">
        <v>121</v>
      </c>
      <c r="AF28" s="5" t="s">
        <v>209</v>
      </c>
      <c r="AG28" s="3" t="s">
        <v>33</v>
      </c>
      <c r="AH28" s="3" t="s">
        <v>210</v>
      </c>
      <c r="AI28" s="3">
        <v>0</v>
      </c>
      <c r="AJ28" s="3" t="s">
        <v>124</v>
      </c>
      <c r="AK28" s="3">
        <v>16.899999999999999</v>
      </c>
      <c r="AL28" s="3"/>
      <c r="AM28" s="3"/>
      <c r="AN28" s="3">
        <v>4.22</v>
      </c>
      <c r="AO28" s="3">
        <v>14.55</v>
      </c>
      <c r="AP28" s="3">
        <v>157.44</v>
      </c>
      <c r="AQ28" s="3"/>
      <c r="AR28" s="3">
        <v>1.55</v>
      </c>
      <c r="AS28" s="3">
        <v>1.25</v>
      </c>
      <c r="AT28" s="5" t="s">
        <v>125</v>
      </c>
      <c r="AU28" s="3" t="s">
        <v>126</v>
      </c>
      <c r="AV28" s="3" t="s">
        <v>127</v>
      </c>
      <c r="AW28" s="3">
        <v>50</v>
      </c>
      <c r="AX28" s="3" t="s">
        <v>128</v>
      </c>
      <c r="AY28" s="3" t="s">
        <v>129</v>
      </c>
      <c r="AZ28" s="3" t="s">
        <v>130</v>
      </c>
      <c r="BA28" s="3">
        <v>5.4573999999999998</v>
      </c>
      <c r="BB28" s="3">
        <v>5.5010000000000003</v>
      </c>
      <c r="BC28" s="3" t="s">
        <v>131</v>
      </c>
      <c r="BD28" s="3" t="s">
        <v>132</v>
      </c>
      <c r="BE28" s="3" t="s">
        <v>133</v>
      </c>
      <c r="BF28" s="3"/>
      <c r="BG28" s="3"/>
      <c r="BH28" s="3">
        <v>10</v>
      </c>
      <c r="BI28" s="3">
        <v>0</v>
      </c>
      <c r="BJ28" s="3">
        <v>1.25</v>
      </c>
      <c r="BK28" s="3">
        <v>12.5</v>
      </c>
      <c r="BL28" s="3">
        <v>1139.2405063291139</v>
      </c>
      <c r="BM28" s="3">
        <v>8860.7594936708865</v>
      </c>
      <c r="BN28" s="5">
        <v>2026</v>
      </c>
      <c r="BO28" s="3" t="s">
        <v>134</v>
      </c>
      <c r="BP28" s="3" t="s">
        <v>135</v>
      </c>
      <c r="BQ28" s="3" t="s">
        <v>136</v>
      </c>
      <c r="BR28" s="3" t="s">
        <v>211</v>
      </c>
      <c r="BS28" s="3" t="s">
        <v>212</v>
      </c>
      <c r="BT28" s="3" t="s">
        <v>213</v>
      </c>
      <c r="BU28" s="3" t="s">
        <v>140</v>
      </c>
      <c r="BV28" s="3" t="s">
        <v>141</v>
      </c>
      <c r="BW28" s="3">
        <v>2</v>
      </c>
      <c r="BX28" s="3" t="s">
        <v>214</v>
      </c>
      <c r="BY28" s="3" t="s">
        <v>215</v>
      </c>
    </row>
    <row r="29" spans="1:77">
      <c r="A29" s="3" t="s">
        <v>216</v>
      </c>
      <c r="B29" s="4">
        <v>46119.333333333336</v>
      </c>
      <c r="C29" s="5">
        <v>19</v>
      </c>
      <c r="D29" s="5">
        <v>16</v>
      </c>
      <c r="E29" s="5">
        <v>1065.2</v>
      </c>
      <c r="F29" s="5">
        <v>19.47</v>
      </c>
      <c r="G29" s="5"/>
      <c r="H29" s="5">
        <v>71.62</v>
      </c>
      <c r="I29" s="5">
        <v>72.319999999999993</v>
      </c>
      <c r="J29" s="5">
        <v>76</v>
      </c>
      <c r="K29" s="5">
        <v>150</v>
      </c>
      <c r="L29" s="5">
        <v>199</v>
      </c>
      <c r="M29" s="5">
        <v>0.9</v>
      </c>
      <c r="N29" s="5">
        <v>21</v>
      </c>
      <c r="O29" s="3"/>
      <c r="P29" s="5">
        <v>104</v>
      </c>
      <c r="Q29" s="5">
        <v>-0.3</v>
      </c>
      <c r="R29" s="3"/>
      <c r="S29" s="3"/>
      <c r="T29" s="3"/>
      <c r="U29" s="3"/>
      <c r="V29" s="3"/>
      <c r="W29" s="3"/>
      <c r="X29" s="3"/>
      <c r="Y29" s="3"/>
      <c r="Z29" s="3"/>
      <c r="AA29" s="3" t="s">
        <v>32</v>
      </c>
      <c r="AB29" s="3">
        <v>46207.333333333336</v>
      </c>
      <c r="AC29" s="3" t="s">
        <v>145</v>
      </c>
      <c r="AD29" s="3" t="s">
        <v>29</v>
      </c>
      <c r="AE29" s="5" t="s">
        <v>121</v>
      </c>
      <c r="AF29" s="5" t="s">
        <v>209</v>
      </c>
      <c r="AG29" s="3" t="s">
        <v>33</v>
      </c>
      <c r="AH29" s="3"/>
      <c r="AI29" s="3"/>
      <c r="AJ29" s="3"/>
      <c r="AK29" s="3">
        <v>16.5</v>
      </c>
      <c r="AL29" s="3"/>
      <c r="AM29" s="3"/>
      <c r="AN29" s="3">
        <v>19.739999999999998</v>
      </c>
      <c r="AO29" s="3">
        <v>26.07</v>
      </c>
      <c r="AP29" s="3">
        <v>143.94</v>
      </c>
      <c r="AQ29" s="3"/>
      <c r="AR29" s="3"/>
      <c r="AS29" s="3">
        <v>-0.3</v>
      </c>
      <c r="AT29" s="5" t="s">
        <v>146</v>
      </c>
      <c r="AU29" s="3" t="s">
        <v>147</v>
      </c>
      <c r="AV29" s="3" t="s">
        <v>127</v>
      </c>
      <c r="AW29" s="3">
        <v>15</v>
      </c>
      <c r="AX29" s="3" t="s">
        <v>148</v>
      </c>
      <c r="AY29" s="3" t="s">
        <v>149</v>
      </c>
      <c r="AZ29" s="3" t="s">
        <v>130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5">
        <v>2026</v>
      </c>
      <c r="BO29" s="3" t="s">
        <v>134</v>
      </c>
      <c r="BP29" s="3" t="s">
        <v>135</v>
      </c>
      <c r="BQ29" s="3" t="s">
        <v>136</v>
      </c>
      <c r="BR29" s="3" t="s">
        <v>211</v>
      </c>
      <c r="BS29" s="3" t="s">
        <v>212</v>
      </c>
      <c r="BT29" s="3" t="s">
        <v>213</v>
      </c>
      <c r="BU29" s="3" t="s">
        <v>140</v>
      </c>
      <c r="BV29" s="3" t="s">
        <v>141</v>
      </c>
      <c r="BW29" s="3">
        <v>2</v>
      </c>
      <c r="BX29" s="3" t="s">
        <v>214</v>
      </c>
      <c r="BY29" s="3" t="s">
        <v>215</v>
      </c>
    </row>
    <row r="30" spans="1:77">
      <c r="A30" s="3" t="s">
        <v>217</v>
      </c>
      <c r="B30" s="4">
        <v>46119.625</v>
      </c>
      <c r="C30" s="5">
        <v>26</v>
      </c>
      <c r="D30" s="5">
        <v>16</v>
      </c>
      <c r="E30" s="5">
        <v>1062.9000000000001</v>
      </c>
      <c r="F30" s="5">
        <v>19.39</v>
      </c>
      <c r="G30" s="5"/>
      <c r="H30" s="5">
        <v>70.180000000000007</v>
      </c>
      <c r="I30" s="5">
        <v>66.37</v>
      </c>
      <c r="J30" s="5">
        <v>62</v>
      </c>
      <c r="K30" s="5">
        <v>145</v>
      </c>
      <c r="L30" s="5">
        <v>180.89999999999998</v>
      </c>
      <c r="M30" s="5">
        <v>0.99</v>
      </c>
      <c r="N30" s="5">
        <v>20</v>
      </c>
      <c r="O30" s="3"/>
      <c r="P30" s="5">
        <v>101</v>
      </c>
      <c r="Q30" s="5">
        <v>-0.3</v>
      </c>
      <c r="R30" s="3"/>
      <c r="S30" s="3"/>
      <c r="T30" s="3"/>
      <c r="U30" s="3"/>
      <c r="V30" s="3"/>
      <c r="W30" s="3"/>
      <c r="X30" s="3"/>
      <c r="Y30" s="3"/>
      <c r="Z30" s="3"/>
      <c r="AA30" s="3" t="s">
        <v>32</v>
      </c>
      <c r="AB30" s="3">
        <v>46207.625</v>
      </c>
      <c r="AC30" s="3" t="s">
        <v>151</v>
      </c>
      <c r="AD30" s="3" t="s">
        <v>29</v>
      </c>
      <c r="AE30" s="5" t="s">
        <v>121</v>
      </c>
      <c r="AF30" s="5" t="s">
        <v>209</v>
      </c>
      <c r="AG30" s="3" t="s">
        <v>33</v>
      </c>
      <c r="AH30" s="3"/>
      <c r="AI30" s="3"/>
      <c r="AJ30" s="3"/>
      <c r="AK30" s="3">
        <v>16.100000000000001</v>
      </c>
      <c r="AL30" s="3"/>
      <c r="AM30" s="3"/>
      <c r="AN30" s="3">
        <v>19.510000000000002</v>
      </c>
      <c r="AO30" s="3">
        <v>35.83</v>
      </c>
      <c r="AP30" s="3">
        <v>136.55000000000001</v>
      </c>
      <c r="AQ30" s="3"/>
      <c r="AR30" s="3"/>
      <c r="AS30" s="3">
        <v>-0.3</v>
      </c>
      <c r="AT30" s="5" t="s">
        <v>146</v>
      </c>
      <c r="AU30" s="3" t="s">
        <v>152</v>
      </c>
      <c r="AV30" s="3" t="s">
        <v>127</v>
      </c>
      <c r="AW30" s="3">
        <v>15</v>
      </c>
      <c r="AX30" s="3" t="s">
        <v>148</v>
      </c>
      <c r="AY30" s="3" t="s">
        <v>149</v>
      </c>
      <c r="AZ30" s="3" t="s">
        <v>130</v>
      </c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5">
        <v>2026</v>
      </c>
      <c r="BO30" s="3" t="s">
        <v>134</v>
      </c>
      <c r="BP30" s="3" t="s">
        <v>135</v>
      </c>
      <c r="BQ30" s="3" t="s">
        <v>136</v>
      </c>
      <c r="BR30" s="3" t="s">
        <v>211</v>
      </c>
      <c r="BS30" s="3" t="s">
        <v>212</v>
      </c>
      <c r="BT30" s="3" t="s">
        <v>213</v>
      </c>
      <c r="BU30" s="3" t="s">
        <v>140</v>
      </c>
      <c r="BV30" s="3" t="s">
        <v>141</v>
      </c>
      <c r="BW30" s="3">
        <v>2</v>
      </c>
      <c r="BX30" s="3" t="s">
        <v>214</v>
      </c>
      <c r="BY30" s="3" t="s">
        <v>215</v>
      </c>
    </row>
    <row r="31" spans="1:77">
      <c r="A31" s="3" t="s">
        <v>218</v>
      </c>
      <c r="B31" s="4">
        <v>46120.333333333336</v>
      </c>
      <c r="C31" s="5">
        <v>43</v>
      </c>
      <c r="D31" s="5">
        <v>16</v>
      </c>
      <c r="E31" s="5">
        <v>1058.3</v>
      </c>
      <c r="F31" s="5">
        <v>30.65</v>
      </c>
      <c r="G31" s="5"/>
      <c r="H31" s="5">
        <v>60.47</v>
      </c>
      <c r="I31" s="5">
        <v>69.490000000000009</v>
      </c>
      <c r="J31" s="5">
        <v>46</v>
      </c>
      <c r="K31" s="5">
        <v>105</v>
      </c>
      <c r="L31" s="5">
        <v>132.1</v>
      </c>
      <c r="M31" s="5">
        <v>2.34</v>
      </c>
      <c r="N31" s="5">
        <v>35</v>
      </c>
      <c r="O31" s="3"/>
      <c r="P31" s="5">
        <v>120</v>
      </c>
      <c r="Q31" s="5">
        <v>-0.3</v>
      </c>
      <c r="R31" s="3"/>
      <c r="S31" s="3"/>
      <c r="T31" s="3"/>
      <c r="U31" s="3"/>
      <c r="V31" s="3"/>
      <c r="W31" s="3"/>
      <c r="X31" s="3"/>
      <c r="Y31" s="3"/>
      <c r="Z31" s="3"/>
      <c r="AA31" s="3" t="s">
        <v>32</v>
      </c>
      <c r="AB31" s="3">
        <v>46238.333333333336</v>
      </c>
      <c r="AC31" s="3" t="s">
        <v>154</v>
      </c>
      <c r="AD31" s="3" t="s">
        <v>29</v>
      </c>
      <c r="AE31" s="5" t="s">
        <v>121</v>
      </c>
      <c r="AF31" s="5" t="s">
        <v>209</v>
      </c>
      <c r="AG31" s="3" t="s">
        <v>33</v>
      </c>
      <c r="AH31" s="3"/>
      <c r="AI31" s="3"/>
      <c r="AJ31" s="3"/>
      <c r="AK31" s="3">
        <v>14.8</v>
      </c>
      <c r="AL31" s="3"/>
      <c r="AM31" s="3"/>
      <c r="AN31" s="3">
        <v>36.56</v>
      </c>
      <c r="AO31" s="3">
        <v>23.53</v>
      </c>
      <c r="AP31" s="3">
        <v>129.96</v>
      </c>
      <c r="AQ31" s="3"/>
      <c r="AR31" s="3"/>
      <c r="AS31" s="3">
        <v>-0.3</v>
      </c>
      <c r="AT31" s="5" t="s">
        <v>146</v>
      </c>
      <c r="AU31" s="3" t="s">
        <v>155</v>
      </c>
      <c r="AV31" s="3" t="s">
        <v>127</v>
      </c>
      <c r="AW31" s="3">
        <v>15</v>
      </c>
      <c r="AX31" s="3" t="s">
        <v>148</v>
      </c>
      <c r="AY31" s="3" t="s">
        <v>149</v>
      </c>
      <c r="AZ31" s="3" t="s">
        <v>130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5">
        <v>2026</v>
      </c>
      <c r="BO31" s="3" t="s">
        <v>134</v>
      </c>
      <c r="BP31" s="3" t="s">
        <v>135</v>
      </c>
      <c r="BQ31" s="3" t="s">
        <v>136</v>
      </c>
      <c r="BR31" s="3" t="s">
        <v>211</v>
      </c>
      <c r="BS31" s="3" t="s">
        <v>212</v>
      </c>
      <c r="BT31" s="3" t="s">
        <v>213</v>
      </c>
      <c r="BU31" s="3" t="s">
        <v>140</v>
      </c>
      <c r="BV31" s="3" t="s">
        <v>141</v>
      </c>
      <c r="BW31" s="3">
        <v>2</v>
      </c>
      <c r="BX31" s="3" t="s">
        <v>214</v>
      </c>
      <c r="BY31" s="3" t="s">
        <v>215</v>
      </c>
    </row>
    <row r="32" spans="1:77">
      <c r="A32" s="3" t="s">
        <v>219</v>
      </c>
      <c r="B32" s="4">
        <v>46120.625</v>
      </c>
      <c r="C32" s="5">
        <v>50</v>
      </c>
      <c r="D32" s="5">
        <v>16</v>
      </c>
      <c r="E32" s="5">
        <v>1054.3</v>
      </c>
      <c r="F32" s="5">
        <v>41.24</v>
      </c>
      <c r="G32" s="5">
        <v>9.9700000000000344E-2</v>
      </c>
      <c r="H32" s="5">
        <v>61.47</v>
      </c>
      <c r="I32" s="5">
        <v>66.070000000000007</v>
      </c>
      <c r="J32" s="5">
        <v>36</v>
      </c>
      <c r="K32" s="5">
        <v>80</v>
      </c>
      <c r="L32" s="5">
        <v>101.6</v>
      </c>
      <c r="M32" s="5">
        <v>2.83</v>
      </c>
      <c r="N32" s="5">
        <v>44</v>
      </c>
      <c r="O32" s="3"/>
      <c r="P32" s="5">
        <v>141</v>
      </c>
      <c r="Q32" s="5">
        <v>2.6700000000000004</v>
      </c>
      <c r="R32" s="3"/>
      <c r="S32" s="3"/>
      <c r="T32" s="3"/>
      <c r="U32" s="3"/>
      <c r="V32" s="3"/>
      <c r="W32" s="3"/>
      <c r="X32" s="3"/>
      <c r="Y32" s="3"/>
      <c r="Z32" s="3"/>
      <c r="AA32" s="3" t="s">
        <v>32</v>
      </c>
      <c r="AB32" s="3">
        <v>46238.625</v>
      </c>
      <c r="AC32" s="3" t="s">
        <v>157</v>
      </c>
      <c r="AD32" s="3" t="s">
        <v>29</v>
      </c>
      <c r="AE32" s="5" t="s">
        <v>121</v>
      </c>
      <c r="AF32" s="5" t="s">
        <v>209</v>
      </c>
      <c r="AG32" s="3" t="s">
        <v>33</v>
      </c>
      <c r="AH32" s="3"/>
      <c r="AI32" s="3"/>
      <c r="AJ32" s="3"/>
      <c r="AK32" s="3">
        <v>14</v>
      </c>
      <c r="AL32" s="3"/>
      <c r="AM32" s="3"/>
      <c r="AN32" s="3">
        <v>41.55</v>
      </c>
      <c r="AO32" s="3">
        <v>34.200000000000003</v>
      </c>
      <c r="AP32" s="3">
        <v>127.54</v>
      </c>
      <c r="AQ32" s="3"/>
      <c r="AR32" s="3">
        <v>2.97</v>
      </c>
      <c r="AS32" s="3">
        <v>2.6700000000000004</v>
      </c>
      <c r="AT32" s="5" t="s">
        <v>125</v>
      </c>
      <c r="AU32" s="3" t="s">
        <v>158</v>
      </c>
      <c r="AV32" s="3" t="s">
        <v>127</v>
      </c>
      <c r="AW32" s="3">
        <v>50</v>
      </c>
      <c r="AX32" s="3" t="s">
        <v>128</v>
      </c>
      <c r="AY32" s="3" t="s">
        <v>159</v>
      </c>
      <c r="AZ32" s="3" t="s">
        <v>130</v>
      </c>
      <c r="BA32" s="3">
        <v>5.6052999999999997</v>
      </c>
      <c r="BB32" s="3">
        <v>5.7050000000000001</v>
      </c>
      <c r="BC32" s="3" t="s">
        <v>131</v>
      </c>
      <c r="BD32" s="3" t="s">
        <v>132</v>
      </c>
      <c r="BE32" s="3" t="s">
        <v>133</v>
      </c>
      <c r="BF32" s="3"/>
      <c r="BG32" s="3"/>
      <c r="BH32" s="3">
        <v>10</v>
      </c>
      <c r="BI32" s="3">
        <v>0</v>
      </c>
      <c r="BJ32" s="3">
        <v>2.6700000000000004</v>
      </c>
      <c r="BK32" s="3">
        <v>12.5</v>
      </c>
      <c r="BL32" s="3">
        <v>1009.9660947292715</v>
      </c>
      <c r="BM32" s="3">
        <v>8990.0339052707277</v>
      </c>
      <c r="BN32" s="5">
        <v>2026</v>
      </c>
      <c r="BO32" s="3" t="s">
        <v>134</v>
      </c>
      <c r="BP32" s="3" t="s">
        <v>135</v>
      </c>
      <c r="BQ32" s="3" t="s">
        <v>136</v>
      </c>
      <c r="BR32" s="3" t="s">
        <v>211</v>
      </c>
      <c r="BS32" s="3" t="s">
        <v>212</v>
      </c>
      <c r="BT32" s="3" t="s">
        <v>213</v>
      </c>
      <c r="BU32" s="3" t="s">
        <v>140</v>
      </c>
      <c r="BV32" s="3" t="s">
        <v>141</v>
      </c>
      <c r="BW32" s="3">
        <v>2</v>
      </c>
      <c r="BX32" s="3" t="s">
        <v>214</v>
      </c>
      <c r="BY32" s="3" t="s">
        <v>215</v>
      </c>
    </row>
    <row r="33" spans="1:77">
      <c r="A33" s="3" t="s">
        <v>220</v>
      </c>
      <c r="B33" s="4">
        <v>46121.333333333336</v>
      </c>
      <c r="C33" s="5">
        <v>67</v>
      </c>
      <c r="D33" s="5">
        <v>16</v>
      </c>
      <c r="E33" s="5">
        <v>1046.4000000000001</v>
      </c>
      <c r="F33" s="5">
        <v>65.05</v>
      </c>
      <c r="G33" s="5"/>
      <c r="H33" s="5">
        <v>44.39</v>
      </c>
      <c r="I33" s="5">
        <v>61.11</v>
      </c>
      <c r="J33" s="5">
        <v>24</v>
      </c>
      <c r="K33" s="5">
        <v>20</v>
      </c>
      <c r="L33" s="5">
        <v>40.4</v>
      </c>
      <c r="M33" s="5">
        <v>3.45</v>
      </c>
      <c r="N33" s="5">
        <v>48</v>
      </c>
      <c r="O33" s="3"/>
      <c r="P33" s="5">
        <v>120</v>
      </c>
      <c r="Q33" s="5">
        <v>-0.3</v>
      </c>
      <c r="R33" s="3"/>
      <c r="S33" s="3"/>
      <c r="T33" s="3"/>
      <c r="U33" s="3"/>
      <c r="V33" s="3"/>
      <c r="W33" s="3"/>
      <c r="X33" s="3"/>
      <c r="Y33" s="3"/>
      <c r="Z33" s="3"/>
      <c r="AA33" s="3" t="s">
        <v>32</v>
      </c>
      <c r="AB33" s="3">
        <v>46269.333333333336</v>
      </c>
      <c r="AC33" s="3" t="s">
        <v>161</v>
      </c>
      <c r="AD33" s="3" t="s">
        <v>29</v>
      </c>
      <c r="AE33" s="5" t="s">
        <v>121</v>
      </c>
      <c r="AF33" s="5" t="s">
        <v>209</v>
      </c>
      <c r="AG33" s="3" t="s">
        <v>33</v>
      </c>
      <c r="AH33" s="3"/>
      <c r="AI33" s="3"/>
      <c r="AJ33" s="3"/>
      <c r="AK33" s="3">
        <v>11.9</v>
      </c>
      <c r="AL33" s="3"/>
      <c r="AM33" s="3"/>
      <c r="AN33" s="3">
        <v>65.13</v>
      </c>
      <c r="AO33" s="3">
        <v>22.17</v>
      </c>
      <c r="AP33" s="3">
        <v>105.5</v>
      </c>
      <c r="AQ33" s="3"/>
      <c r="AR33" s="3"/>
      <c r="AS33" s="3">
        <v>-0.3</v>
      </c>
      <c r="AT33" s="5" t="s">
        <v>146</v>
      </c>
      <c r="AU33" s="3" t="s">
        <v>164</v>
      </c>
      <c r="AV33" s="3" t="s">
        <v>127</v>
      </c>
      <c r="AW33" s="3">
        <v>15</v>
      </c>
      <c r="AX33" s="3" t="s">
        <v>148</v>
      </c>
      <c r="AY33" s="3" t="s">
        <v>149</v>
      </c>
      <c r="AZ33" s="3" t="s">
        <v>130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5">
        <v>2026</v>
      </c>
      <c r="BO33" s="3" t="s">
        <v>134</v>
      </c>
      <c r="BP33" s="3" t="s">
        <v>135</v>
      </c>
      <c r="BQ33" s="3" t="s">
        <v>136</v>
      </c>
      <c r="BR33" s="3" t="s">
        <v>211</v>
      </c>
      <c r="BS33" s="3" t="s">
        <v>212</v>
      </c>
      <c r="BT33" s="3" t="s">
        <v>213</v>
      </c>
      <c r="BU33" s="3" t="s">
        <v>140</v>
      </c>
      <c r="BV33" s="3" t="s">
        <v>141</v>
      </c>
      <c r="BW33" s="3">
        <v>2</v>
      </c>
      <c r="BX33" s="3" t="s">
        <v>214</v>
      </c>
      <c r="BY33" s="3" t="s">
        <v>215</v>
      </c>
    </row>
    <row r="34" spans="1:77">
      <c r="A34" s="3" t="s">
        <v>221</v>
      </c>
      <c r="B34" s="4">
        <v>46121.625</v>
      </c>
      <c r="C34" s="5">
        <v>74</v>
      </c>
      <c r="D34" s="5">
        <v>16</v>
      </c>
      <c r="E34" s="5">
        <v>1040</v>
      </c>
      <c r="F34" s="5">
        <v>45.93</v>
      </c>
      <c r="G34" s="5"/>
      <c r="H34" s="5">
        <v>38.909999999999997</v>
      </c>
      <c r="I34" s="5">
        <v>56.09</v>
      </c>
      <c r="J34" s="5">
        <v>21</v>
      </c>
      <c r="K34" s="5">
        <v>0</v>
      </c>
      <c r="L34" s="5">
        <v>21</v>
      </c>
      <c r="M34" s="5">
        <v>3.67</v>
      </c>
      <c r="N34" s="5">
        <v>50</v>
      </c>
      <c r="O34" s="3"/>
      <c r="P34" s="5">
        <v>144</v>
      </c>
      <c r="Q34" s="5">
        <v>-0.3</v>
      </c>
      <c r="R34" s="3"/>
      <c r="S34" s="3"/>
      <c r="T34" s="3"/>
      <c r="U34" s="3"/>
      <c r="V34" s="3"/>
      <c r="W34" s="3"/>
      <c r="X34" s="3"/>
      <c r="Y34" s="3"/>
      <c r="Z34" s="3"/>
      <c r="AA34" s="3" t="s">
        <v>32</v>
      </c>
      <c r="AB34" s="3">
        <v>46269.625</v>
      </c>
      <c r="AC34" s="3" t="s">
        <v>166</v>
      </c>
      <c r="AD34" s="3" t="s">
        <v>29</v>
      </c>
      <c r="AE34" s="5" t="s">
        <v>121</v>
      </c>
      <c r="AF34" s="5" t="s">
        <v>209</v>
      </c>
      <c r="AG34" s="3" t="s">
        <v>33</v>
      </c>
      <c r="AH34" s="3"/>
      <c r="AI34" s="3"/>
      <c r="AJ34" s="3"/>
      <c r="AK34" s="3">
        <v>10.6</v>
      </c>
      <c r="AL34" s="3"/>
      <c r="AM34" s="3"/>
      <c r="AN34" s="3">
        <v>46.08</v>
      </c>
      <c r="AO34" s="3">
        <v>23.33</v>
      </c>
      <c r="AP34" s="3">
        <v>95</v>
      </c>
      <c r="AQ34" s="3"/>
      <c r="AR34" s="3"/>
      <c r="AS34" s="3">
        <v>-0.3</v>
      </c>
      <c r="AT34" s="5" t="s">
        <v>146</v>
      </c>
      <c r="AU34" s="3" t="s">
        <v>167</v>
      </c>
      <c r="AV34" s="3" t="s">
        <v>127</v>
      </c>
      <c r="AW34" s="3">
        <v>15</v>
      </c>
      <c r="AX34" s="3" t="s">
        <v>148</v>
      </c>
      <c r="AY34" s="3" t="s">
        <v>149</v>
      </c>
      <c r="AZ34" s="3" t="s">
        <v>130</v>
      </c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5">
        <v>2026</v>
      </c>
      <c r="BO34" s="3" t="s">
        <v>134</v>
      </c>
      <c r="BP34" s="3" t="s">
        <v>135</v>
      </c>
      <c r="BQ34" s="3" t="s">
        <v>136</v>
      </c>
      <c r="BR34" s="3" t="s">
        <v>211</v>
      </c>
      <c r="BS34" s="3" t="s">
        <v>212</v>
      </c>
      <c r="BT34" s="3" t="s">
        <v>213</v>
      </c>
      <c r="BU34" s="3" t="s">
        <v>140</v>
      </c>
      <c r="BV34" s="3" t="s">
        <v>141</v>
      </c>
      <c r="BW34" s="3">
        <v>2</v>
      </c>
      <c r="BX34" s="3" t="s">
        <v>214</v>
      </c>
      <c r="BY34" s="3" t="s">
        <v>215</v>
      </c>
    </row>
    <row r="35" spans="1:77">
      <c r="A35" s="3" t="s">
        <v>222</v>
      </c>
      <c r="B35" s="4">
        <v>46122.625</v>
      </c>
      <c r="C35" s="5">
        <v>98</v>
      </c>
      <c r="D35" s="5">
        <v>16</v>
      </c>
      <c r="E35" s="5">
        <v>1026.2</v>
      </c>
      <c r="F35" s="5">
        <v>77.73</v>
      </c>
      <c r="G35" s="5"/>
      <c r="H35" s="5">
        <v>20.89</v>
      </c>
      <c r="I35" s="5">
        <v>43.04</v>
      </c>
      <c r="J35" s="5">
        <v>0</v>
      </c>
      <c r="K35" s="5">
        <v>0</v>
      </c>
      <c r="L35" s="5">
        <v>0</v>
      </c>
      <c r="M35" s="5">
        <v>4.8899999999999997</v>
      </c>
      <c r="N35" s="5">
        <v>34</v>
      </c>
      <c r="O35" s="3"/>
      <c r="P35" s="5">
        <v>118</v>
      </c>
      <c r="Q35" s="5">
        <v>-0.3</v>
      </c>
      <c r="R35" s="3" t="s">
        <v>119</v>
      </c>
      <c r="S35" s="3"/>
      <c r="T35" s="3"/>
      <c r="U35" s="3"/>
      <c r="V35" s="3"/>
      <c r="W35" s="3"/>
      <c r="X35" s="3"/>
      <c r="Y35" s="3"/>
      <c r="Z35" s="3"/>
      <c r="AA35" s="3" t="s">
        <v>32</v>
      </c>
      <c r="AB35" s="3">
        <v>46299.625</v>
      </c>
      <c r="AC35" s="3" t="s">
        <v>172</v>
      </c>
      <c r="AD35" s="3" t="s">
        <v>29</v>
      </c>
      <c r="AE35" s="5" t="s">
        <v>121</v>
      </c>
      <c r="AF35" s="5" t="s">
        <v>209</v>
      </c>
      <c r="AG35" s="3" t="s">
        <v>33</v>
      </c>
      <c r="AH35" s="3" t="s">
        <v>223</v>
      </c>
      <c r="AI35" s="3">
        <v>75</v>
      </c>
      <c r="AJ35" s="3" t="s">
        <v>163</v>
      </c>
      <c r="AK35" s="3">
        <v>7.1</v>
      </c>
      <c r="AL35" s="3"/>
      <c r="AM35" s="3"/>
      <c r="AN35" s="3">
        <v>79.569999999999993</v>
      </c>
      <c r="AO35" s="3">
        <v>16.12</v>
      </c>
      <c r="AP35" s="3">
        <v>63.93</v>
      </c>
      <c r="AQ35" s="3"/>
      <c r="AR35" s="3"/>
      <c r="AS35" s="3">
        <v>-0.3</v>
      </c>
      <c r="AT35" s="5" t="s">
        <v>146</v>
      </c>
      <c r="AU35" s="3" t="s">
        <v>173</v>
      </c>
      <c r="AV35" s="3" t="s">
        <v>127</v>
      </c>
      <c r="AW35" s="3">
        <v>15</v>
      </c>
      <c r="AX35" s="3" t="s">
        <v>148</v>
      </c>
      <c r="AY35" s="3" t="s">
        <v>149</v>
      </c>
      <c r="AZ35" s="3" t="s">
        <v>130</v>
      </c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5">
        <v>2026</v>
      </c>
      <c r="BO35" s="3" t="s">
        <v>134</v>
      </c>
      <c r="BP35" s="3" t="s">
        <v>135</v>
      </c>
      <c r="BQ35" s="3" t="s">
        <v>136</v>
      </c>
      <c r="BR35" s="3" t="s">
        <v>211</v>
      </c>
      <c r="BS35" s="3" t="s">
        <v>212</v>
      </c>
      <c r="BT35" s="3" t="s">
        <v>213</v>
      </c>
      <c r="BU35" s="3" t="s">
        <v>140</v>
      </c>
      <c r="BV35" s="3" t="s">
        <v>141</v>
      </c>
      <c r="BW35" s="3">
        <v>2</v>
      </c>
      <c r="BX35" s="3" t="s">
        <v>214</v>
      </c>
      <c r="BY35" s="3" t="s">
        <v>215</v>
      </c>
    </row>
    <row r="36" spans="1:77">
      <c r="A36" s="3" t="s">
        <v>224</v>
      </c>
      <c r="B36" s="4">
        <v>46123.333333333336</v>
      </c>
      <c r="C36" s="5">
        <v>115</v>
      </c>
      <c r="D36" s="5">
        <v>16</v>
      </c>
      <c r="E36" s="5">
        <v>1016.1</v>
      </c>
      <c r="F36" s="5"/>
      <c r="G36" s="5">
        <v>8.8000000000000078E-2</v>
      </c>
      <c r="H36" s="5">
        <v>11.13</v>
      </c>
      <c r="I36" s="5">
        <v>32.08</v>
      </c>
      <c r="J36" s="5">
        <v>58</v>
      </c>
      <c r="K36" s="5">
        <v>0</v>
      </c>
      <c r="L36" s="5">
        <v>58</v>
      </c>
      <c r="M36" s="5">
        <v>5.56</v>
      </c>
      <c r="N36" s="5">
        <v>20</v>
      </c>
      <c r="O36" s="3"/>
      <c r="P36" s="5">
        <v>120</v>
      </c>
      <c r="Q36" s="5">
        <v>7.8199999999999994</v>
      </c>
      <c r="R36" s="3"/>
      <c r="S36" s="3"/>
      <c r="T36" s="3"/>
      <c r="U36" s="3"/>
      <c r="V36" s="3"/>
      <c r="W36" s="3"/>
      <c r="X36" s="3"/>
      <c r="Y36" s="3"/>
      <c r="Z36" s="3"/>
      <c r="AA36" s="3" t="s">
        <v>32</v>
      </c>
      <c r="AB36" s="3">
        <v>46330.333333333336</v>
      </c>
      <c r="AC36" s="3" t="s">
        <v>175</v>
      </c>
      <c r="AD36" s="3" t="s">
        <v>29</v>
      </c>
      <c r="AE36" s="5" t="s">
        <v>121</v>
      </c>
      <c r="AF36" s="5" t="s">
        <v>209</v>
      </c>
      <c r="AG36" s="3" t="s">
        <v>33</v>
      </c>
      <c r="AH36" s="3"/>
      <c r="AI36" s="3"/>
      <c r="AJ36" s="3"/>
      <c r="AK36" s="3">
        <v>4.5999999999999996</v>
      </c>
      <c r="AL36" s="3"/>
      <c r="AM36" s="3"/>
      <c r="AN36" s="3"/>
      <c r="AO36" s="3"/>
      <c r="AP36" s="3">
        <v>43.21</v>
      </c>
      <c r="AQ36" s="3"/>
      <c r="AR36" s="3">
        <v>8.1199999999999992</v>
      </c>
      <c r="AS36" s="3">
        <v>7.8199999999999994</v>
      </c>
      <c r="AT36" s="5" t="s">
        <v>125</v>
      </c>
      <c r="AU36" s="3" t="s">
        <v>170</v>
      </c>
      <c r="AV36" s="3" t="s">
        <v>127</v>
      </c>
      <c r="AW36" s="3">
        <v>50</v>
      </c>
      <c r="AX36" s="3" t="s">
        <v>128</v>
      </c>
      <c r="AY36" s="3" t="s">
        <v>159</v>
      </c>
      <c r="AZ36" s="3" t="s">
        <v>130</v>
      </c>
      <c r="BA36" s="3">
        <v>5.65</v>
      </c>
      <c r="BB36" s="3">
        <v>5.7380000000000004</v>
      </c>
      <c r="BC36" s="3" t="s">
        <v>131</v>
      </c>
      <c r="BD36" s="3" t="s">
        <v>132</v>
      </c>
      <c r="BE36" s="3" t="s">
        <v>133</v>
      </c>
      <c r="BF36" s="3"/>
      <c r="BG36" s="3"/>
      <c r="BH36" s="3">
        <v>10</v>
      </c>
      <c r="BI36" s="3">
        <v>0</v>
      </c>
      <c r="BJ36" s="3">
        <v>7.8199999999999994</v>
      </c>
      <c r="BK36" s="3">
        <v>12.5</v>
      </c>
      <c r="BL36" s="3">
        <v>507.70232154480379</v>
      </c>
      <c r="BM36" s="3">
        <v>9492.2976784551956</v>
      </c>
      <c r="BN36" s="5">
        <v>2026</v>
      </c>
      <c r="BO36" s="3" t="s">
        <v>134</v>
      </c>
      <c r="BP36" s="3" t="s">
        <v>135</v>
      </c>
      <c r="BQ36" s="3" t="s">
        <v>136</v>
      </c>
      <c r="BR36" s="3" t="s">
        <v>211</v>
      </c>
      <c r="BS36" s="3" t="s">
        <v>212</v>
      </c>
      <c r="BT36" s="3" t="s">
        <v>213</v>
      </c>
      <c r="BU36" s="3" t="s">
        <v>140</v>
      </c>
      <c r="BV36" s="3" t="s">
        <v>141</v>
      </c>
      <c r="BW36" s="3">
        <v>2</v>
      </c>
      <c r="BX36" s="3" t="s">
        <v>214</v>
      </c>
      <c r="BY36" s="3" t="s">
        <v>215</v>
      </c>
    </row>
    <row r="37" spans="1:77">
      <c r="A37" s="3" t="s">
        <v>225</v>
      </c>
      <c r="B37" s="4">
        <v>46123.625</v>
      </c>
      <c r="C37" s="5">
        <v>122</v>
      </c>
      <c r="D37" s="5">
        <v>16</v>
      </c>
      <c r="E37" s="5">
        <v>1011.7</v>
      </c>
      <c r="F37" s="5">
        <v>60.52</v>
      </c>
      <c r="G37" s="5"/>
      <c r="H37" s="5">
        <v>9.4600000000000009</v>
      </c>
      <c r="I37" s="5">
        <v>29.25</v>
      </c>
      <c r="J37" s="5">
        <v>27</v>
      </c>
      <c r="K37" s="5">
        <v>0</v>
      </c>
      <c r="L37" s="5">
        <v>27</v>
      </c>
      <c r="M37" s="5">
        <v>5.75</v>
      </c>
      <c r="N37" s="5">
        <v>26</v>
      </c>
      <c r="O37" s="3"/>
      <c r="P37" s="5">
        <v>119</v>
      </c>
      <c r="Q37" s="5">
        <v>-0.3</v>
      </c>
      <c r="R37" s="3"/>
      <c r="S37" s="3"/>
      <c r="T37" s="3"/>
      <c r="U37" s="3"/>
      <c r="V37" s="3"/>
      <c r="W37" s="3"/>
      <c r="X37" s="3"/>
      <c r="Y37" s="3"/>
      <c r="Z37" s="3"/>
      <c r="AA37" s="3" t="s">
        <v>32</v>
      </c>
      <c r="AB37" s="3">
        <v>46330.625</v>
      </c>
      <c r="AC37" s="3" t="s">
        <v>180</v>
      </c>
      <c r="AD37" s="3" t="s">
        <v>29</v>
      </c>
      <c r="AE37" s="5" t="s">
        <v>121</v>
      </c>
      <c r="AF37" s="5" t="s">
        <v>209</v>
      </c>
      <c r="AG37" s="3" t="s">
        <v>33</v>
      </c>
      <c r="AH37" s="3"/>
      <c r="AI37" s="3"/>
      <c r="AJ37" s="3"/>
      <c r="AK37" s="3">
        <v>3.6</v>
      </c>
      <c r="AL37" s="3"/>
      <c r="AM37" s="3"/>
      <c r="AN37" s="3">
        <v>63.67</v>
      </c>
      <c r="AO37" s="3">
        <v>8.56</v>
      </c>
      <c r="AP37" s="3">
        <v>38.71</v>
      </c>
      <c r="AQ37" s="3"/>
      <c r="AR37" s="3"/>
      <c r="AS37" s="3">
        <v>-0.3</v>
      </c>
      <c r="AT37" s="5" t="s">
        <v>146</v>
      </c>
      <c r="AU37" s="3" t="s">
        <v>181</v>
      </c>
      <c r="AV37" s="3" t="s">
        <v>127</v>
      </c>
      <c r="AW37" s="3">
        <v>15</v>
      </c>
      <c r="AX37" s="3" t="s">
        <v>148</v>
      </c>
      <c r="AY37" s="3" t="s">
        <v>149</v>
      </c>
      <c r="AZ37" s="3" t="s">
        <v>130</v>
      </c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5">
        <v>2026</v>
      </c>
      <c r="BO37" s="3" t="s">
        <v>134</v>
      </c>
      <c r="BP37" s="3" t="s">
        <v>135</v>
      </c>
      <c r="BQ37" s="3" t="s">
        <v>136</v>
      </c>
      <c r="BR37" s="3" t="s">
        <v>211</v>
      </c>
      <c r="BS37" s="3" t="s">
        <v>212</v>
      </c>
      <c r="BT37" s="3" t="s">
        <v>213</v>
      </c>
      <c r="BU37" s="3" t="s">
        <v>140</v>
      </c>
      <c r="BV37" s="3" t="s">
        <v>141</v>
      </c>
      <c r="BW37" s="3">
        <v>2</v>
      </c>
      <c r="BX37" s="3" t="s">
        <v>214</v>
      </c>
      <c r="BY37" s="3" t="s">
        <v>215</v>
      </c>
    </row>
    <row r="38" spans="1:77">
      <c r="A38" s="3" t="s">
        <v>226</v>
      </c>
      <c r="B38" s="4">
        <v>46124.333333333336</v>
      </c>
      <c r="C38" s="5">
        <v>139</v>
      </c>
      <c r="D38" s="5">
        <v>18</v>
      </c>
      <c r="E38" s="5">
        <v>1006.9</v>
      </c>
      <c r="F38" s="5">
        <v>62.14</v>
      </c>
      <c r="G38" s="5"/>
      <c r="H38" s="5">
        <v>2.4500000000000002</v>
      </c>
      <c r="I38" s="5">
        <v>18.82</v>
      </c>
      <c r="J38" s="5">
        <v>39</v>
      </c>
      <c r="K38" s="5">
        <v>0</v>
      </c>
      <c r="L38" s="5">
        <v>39</v>
      </c>
      <c r="M38" s="5">
        <v>6.24</v>
      </c>
      <c r="N38" s="5">
        <v>21</v>
      </c>
      <c r="O38" s="3"/>
      <c r="P38" s="5">
        <v>123</v>
      </c>
      <c r="Q38" s="5">
        <v>-0.3</v>
      </c>
      <c r="R38" s="3"/>
      <c r="S38" s="3"/>
      <c r="T38" s="3"/>
      <c r="U38" s="3"/>
      <c r="V38" s="3"/>
      <c r="W38" s="3"/>
      <c r="X38" s="3"/>
      <c r="Y38" s="3"/>
      <c r="Z38" s="3"/>
      <c r="AA38" s="3" t="s">
        <v>32</v>
      </c>
      <c r="AB38" s="3">
        <v>46360.333333333336</v>
      </c>
      <c r="AC38" s="3" t="s">
        <v>227</v>
      </c>
      <c r="AD38" s="3" t="s">
        <v>29</v>
      </c>
      <c r="AE38" s="5" t="s">
        <v>176</v>
      </c>
      <c r="AF38" s="5" t="s">
        <v>228</v>
      </c>
      <c r="AG38" s="3" t="s">
        <v>33</v>
      </c>
      <c r="AH38" s="3"/>
      <c r="AI38" s="3"/>
      <c r="AJ38" s="3"/>
      <c r="AK38" s="3">
        <v>2.2000000000000002</v>
      </c>
      <c r="AL38" s="3"/>
      <c r="AM38" s="3"/>
      <c r="AN38" s="3">
        <v>64.44</v>
      </c>
      <c r="AO38" s="3">
        <v>7.15</v>
      </c>
      <c r="AP38" s="3">
        <v>21.27</v>
      </c>
      <c r="AQ38" s="3"/>
      <c r="AR38" s="3"/>
      <c r="AS38" s="3">
        <v>-0.3</v>
      </c>
      <c r="AT38" s="5" t="s">
        <v>146</v>
      </c>
      <c r="AU38" s="3" t="s">
        <v>178</v>
      </c>
      <c r="AV38" s="3" t="s">
        <v>127</v>
      </c>
      <c r="AW38" s="3">
        <v>15</v>
      </c>
      <c r="AX38" s="3" t="s">
        <v>148</v>
      </c>
      <c r="AY38" s="3" t="s">
        <v>149</v>
      </c>
      <c r="AZ38" s="3" t="s">
        <v>130</v>
      </c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5">
        <v>2026</v>
      </c>
      <c r="BO38" s="3" t="s">
        <v>134</v>
      </c>
      <c r="BP38" s="3" t="s">
        <v>135</v>
      </c>
      <c r="BQ38" s="3" t="s">
        <v>136</v>
      </c>
      <c r="BR38" s="3" t="s">
        <v>211</v>
      </c>
      <c r="BS38" s="3" t="s">
        <v>212</v>
      </c>
      <c r="BT38" s="3" t="s">
        <v>213</v>
      </c>
      <c r="BU38" s="3" t="s">
        <v>140</v>
      </c>
      <c r="BV38" s="3" t="s">
        <v>141</v>
      </c>
      <c r="BW38" s="3">
        <v>2</v>
      </c>
      <c r="BX38" s="3" t="s">
        <v>214</v>
      </c>
      <c r="BY38" s="3" t="s">
        <v>215</v>
      </c>
    </row>
    <row r="39" spans="1:77">
      <c r="A39" s="3" t="s">
        <v>229</v>
      </c>
      <c r="B39" s="4">
        <v>46124.625</v>
      </c>
      <c r="C39" s="5">
        <v>146</v>
      </c>
      <c r="D39" s="5">
        <v>18</v>
      </c>
      <c r="E39" s="5">
        <v>1001.5</v>
      </c>
      <c r="F39" s="5"/>
      <c r="G39" s="5">
        <v>0.10599999999999987</v>
      </c>
      <c r="H39" s="5">
        <v>1.33</v>
      </c>
      <c r="I39" s="5">
        <v>12.38</v>
      </c>
      <c r="J39" s="5">
        <v>41</v>
      </c>
      <c r="K39" s="5">
        <v>0</v>
      </c>
      <c r="L39" s="5">
        <v>41</v>
      </c>
      <c r="M39" s="5">
        <v>6.01</v>
      </c>
      <c r="N39" s="5">
        <v>20</v>
      </c>
      <c r="O39" s="3"/>
      <c r="P39" s="5">
        <v>123</v>
      </c>
      <c r="Q39" s="5">
        <v>9.77</v>
      </c>
      <c r="R39" s="3"/>
      <c r="S39" s="3"/>
      <c r="T39" s="3"/>
      <c r="U39" s="3"/>
      <c r="V39" s="3"/>
      <c r="W39" s="3"/>
      <c r="X39" s="3"/>
      <c r="Y39" s="3"/>
      <c r="Z39" s="3"/>
      <c r="AA39" s="3" t="s">
        <v>32</v>
      </c>
      <c r="AB39" s="3">
        <v>46360.625</v>
      </c>
      <c r="AC39" s="3" t="s">
        <v>183</v>
      </c>
      <c r="AD39" s="3" t="s">
        <v>29</v>
      </c>
      <c r="AE39" s="5" t="s">
        <v>176</v>
      </c>
      <c r="AF39" s="5" t="s">
        <v>228</v>
      </c>
      <c r="AG39" s="3" t="s">
        <v>33</v>
      </c>
      <c r="AH39" s="3"/>
      <c r="AI39" s="3"/>
      <c r="AJ39" s="3"/>
      <c r="AK39" s="3">
        <v>22.5</v>
      </c>
      <c r="AL39" s="3"/>
      <c r="AM39" s="3"/>
      <c r="AN39" s="3"/>
      <c r="AO39" s="3"/>
      <c r="AP39" s="3">
        <v>13.71</v>
      </c>
      <c r="AQ39" s="3"/>
      <c r="AR39" s="3">
        <v>10.07</v>
      </c>
      <c r="AS39" s="3">
        <v>9.77</v>
      </c>
      <c r="AT39" s="5" t="s">
        <v>125</v>
      </c>
      <c r="AU39" s="3" t="s">
        <v>184</v>
      </c>
      <c r="AV39" s="3" t="s">
        <v>127</v>
      </c>
      <c r="AW39" s="3">
        <v>50</v>
      </c>
      <c r="AX39" s="3" t="s">
        <v>128</v>
      </c>
      <c r="AY39" s="3" t="s">
        <v>159</v>
      </c>
      <c r="AZ39" s="3" t="s">
        <v>130</v>
      </c>
      <c r="BA39" s="3">
        <v>5.54</v>
      </c>
      <c r="BB39" s="3">
        <v>5.6459999999999999</v>
      </c>
      <c r="BC39" s="3" t="s">
        <v>131</v>
      </c>
      <c r="BD39" s="3" t="s">
        <v>132</v>
      </c>
      <c r="BE39" s="3" t="s">
        <v>133</v>
      </c>
      <c r="BF39" s="3"/>
      <c r="BG39" s="3"/>
      <c r="BH39" s="3">
        <v>10</v>
      </c>
      <c r="BI39" s="3">
        <v>0</v>
      </c>
      <c r="BJ39" s="3">
        <v>9.77</v>
      </c>
      <c r="BK39" s="3">
        <v>12.5</v>
      </c>
      <c r="BL39" s="3">
        <v>302.56012412723055</v>
      </c>
      <c r="BM39" s="3">
        <v>9697.4398758727693</v>
      </c>
      <c r="BN39" s="5">
        <v>2026</v>
      </c>
      <c r="BO39" s="3" t="s">
        <v>134</v>
      </c>
      <c r="BP39" s="3" t="s">
        <v>135</v>
      </c>
      <c r="BQ39" s="3" t="s">
        <v>136</v>
      </c>
      <c r="BR39" s="3" t="s">
        <v>211</v>
      </c>
      <c r="BS39" s="3" t="s">
        <v>212</v>
      </c>
      <c r="BT39" s="3" t="s">
        <v>213</v>
      </c>
      <c r="BU39" s="3" t="s">
        <v>140</v>
      </c>
      <c r="BV39" s="3" t="s">
        <v>141</v>
      </c>
      <c r="BW39" s="3">
        <v>2</v>
      </c>
      <c r="BX39" s="3" t="s">
        <v>214</v>
      </c>
      <c r="BY39" s="3" t="s">
        <v>215</v>
      </c>
    </row>
    <row r="40" spans="1:77">
      <c r="A40" s="3" t="s">
        <v>230</v>
      </c>
      <c r="B40" s="4">
        <v>46125.625</v>
      </c>
      <c r="C40" s="5">
        <v>170</v>
      </c>
      <c r="D40" s="5">
        <v>18</v>
      </c>
      <c r="E40" s="5">
        <v>996.7</v>
      </c>
      <c r="F40" s="5">
        <v>49.16</v>
      </c>
      <c r="G40" s="5"/>
      <c r="H40" s="5">
        <v>0.19</v>
      </c>
      <c r="I40" s="5">
        <v>4.5</v>
      </c>
      <c r="J40" s="5">
        <v>39</v>
      </c>
      <c r="K40" s="5">
        <v>7</v>
      </c>
      <c r="L40" s="5">
        <v>44.74</v>
      </c>
      <c r="M40" s="5">
        <v>5.78</v>
      </c>
      <c r="N40" s="5">
        <v>17</v>
      </c>
      <c r="O40" s="3"/>
      <c r="P40" s="5">
        <v>104</v>
      </c>
      <c r="Q40" s="5">
        <v>-0.3</v>
      </c>
      <c r="R40" s="3"/>
      <c r="S40" s="3"/>
      <c r="T40" s="3"/>
      <c r="U40" s="3"/>
      <c r="V40" s="3"/>
      <c r="W40" s="3"/>
      <c r="X40" s="3"/>
      <c r="Y40" s="3"/>
      <c r="Z40" s="3"/>
      <c r="AA40" s="3" t="s">
        <v>32</v>
      </c>
      <c r="AB40" s="3" t="s">
        <v>231</v>
      </c>
      <c r="AC40" s="3" t="s">
        <v>187</v>
      </c>
      <c r="AD40" s="3" t="s">
        <v>29</v>
      </c>
      <c r="AE40" s="5" t="s">
        <v>176</v>
      </c>
      <c r="AF40" s="5" t="s">
        <v>228</v>
      </c>
      <c r="AG40" s="3" t="s">
        <v>33</v>
      </c>
      <c r="AH40" s="3"/>
      <c r="AI40" s="3"/>
      <c r="AJ40" s="3"/>
      <c r="AK40" s="3">
        <v>-0.2</v>
      </c>
      <c r="AL40" s="3"/>
      <c r="AM40" s="3"/>
      <c r="AN40" s="3">
        <v>49.77</v>
      </c>
      <c r="AO40" s="3">
        <v>17.440000000000001</v>
      </c>
      <c r="AP40" s="3">
        <v>4.6900000000000004</v>
      </c>
      <c r="AQ40" s="3"/>
      <c r="AR40" s="3"/>
      <c r="AS40" s="3">
        <v>-0.3</v>
      </c>
      <c r="AT40" s="5" t="s">
        <v>146</v>
      </c>
      <c r="AU40" s="3" t="s">
        <v>232</v>
      </c>
      <c r="AV40" s="3" t="s">
        <v>127</v>
      </c>
      <c r="AW40" s="3">
        <v>15</v>
      </c>
      <c r="AX40" s="3" t="s">
        <v>148</v>
      </c>
      <c r="AY40" s="3" t="s">
        <v>149</v>
      </c>
      <c r="AZ40" s="3" t="s">
        <v>130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5">
        <v>2026</v>
      </c>
      <c r="BO40" s="3" t="s">
        <v>134</v>
      </c>
      <c r="BP40" s="3" t="s">
        <v>135</v>
      </c>
      <c r="BQ40" s="3" t="s">
        <v>136</v>
      </c>
      <c r="BR40" s="3" t="s">
        <v>211</v>
      </c>
      <c r="BS40" s="3" t="s">
        <v>212</v>
      </c>
      <c r="BT40" s="3" t="s">
        <v>213</v>
      </c>
      <c r="BU40" s="3" t="s">
        <v>140</v>
      </c>
      <c r="BV40" s="3" t="s">
        <v>141</v>
      </c>
      <c r="BW40" s="3">
        <v>2</v>
      </c>
      <c r="BX40" s="3" t="s">
        <v>214</v>
      </c>
      <c r="BY40" s="3" t="s">
        <v>215</v>
      </c>
    </row>
    <row r="41" spans="1:77">
      <c r="A41" s="3" t="s">
        <v>233</v>
      </c>
      <c r="B41" s="4">
        <v>46126.625</v>
      </c>
      <c r="C41" s="5">
        <v>194</v>
      </c>
      <c r="D41" s="5">
        <v>18</v>
      </c>
      <c r="E41" s="5">
        <v>996</v>
      </c>
      <c r="F41" s="5">
        <v>56.68</v>
      </c>
      <c r="G41" s="5"/>
      <c r="H41" s="5">
        <v>0</v>
      </c>
      <c r="I41" s="5">
        <v>0.88</v>
      </c>
      <c r="J41" s="5">
        <v>40</v>
      </c>
      <c r="K41" s="5">
        <v>2</v>
      </c>
      <c r="L41" s="5">
        <v>41.64</v>
      </c>
      <c r="M41" s="5">
        <v>5.62</v>
      </c>
      <c r="N41" s="5">
        <v>17</v>
      </c>
      <c r="O41" s="3"/>
      <c r="P41" s="5">
        <v>111</v>
      </c>
      <c r="Q41" s="5">
        <v>-0.3</v>
      </c>
      <c r="R41" s="3"/>
      <c r="S41" s="3"/>
      <c r="T41" s="3"/>
      <c r="U41" s="3"/>
      <c r="V41" s="3"/>
      <c r="W41" s="3"/>
      <c r="X41" s="3"/>
      <c r="Y41" s="3"/>
      <c r="Z41" s="3"/>
      <c r="AA41" s="3" t="s">
        <v>32</v>
      </c>
      <c r="AB41" s="3" t="s">
        <v>234</v>
      </c>
      <c r="AC41" s="3" t="s">
        <v>187</v>
      </c>
      <c r="AD41" s="3" t="s">
        <v>29</v>
      </c>
      <c r="AE41" s="5" t="s">
        <v>176</v>
      </c>
      <c r="AF41" s="5" t="s">
        <v>228</v>
      </c>
      <c r="AG41" s="3" t="s">
        <v>33</v>
      </c>
      <c r="AH41" s="3"/>
      <c r="AI41" s="3"/>
      <c r="AJ41" s="3"/>
      <c r="AK41" s="3">
        <v>-0.5</v>
      </c>
      <c r="AL41" s="3"/>
      <c r="AM41" s="3"/>
      <c r="AN41" s="3">
        <v>57.07</v>
      </c>
      <c r="AO41" s="3">
        <v>19.649999999999999</v>
      </c>
      <c r="AP41" s="3">
        <v>0.88</v>
      </c>
      <c r="AQ41" s="3"/>
      <c r="AR41" s="3"/>
      <c r="AS41" s="3">
        <v>-0.3</v>
      </c>
      <c r="AT41" s="5" t="s">
        <v>146</v>
      </c>
      <c r="AU41" s="3" t="s">
        <v>235</v>
      </c>
      <c r="AV41" s="3" t="s">
        <v>127</v>
      </c>
      <c r="AW41" s="3">
        <v>15</v>
      </c>
      <c r="AX41" s="3" t="s">
        <v>148</v>
      </c>
      <c r="AY41" s="3" t="s">
        <v>149</v>
      </c>
      <c r="AZ41" s="3" t="s">
        <v>130</v>
      </c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5">
        <v>2026</v>
      </c>
      <c r="BO41" s="3" t="s">
        <v>134</v>
      </c>
      <c r="BP41" s="3" t="s">
        <v>135</v>
      </c>
      <c r="BQ41" s="3" t="s">
        <v>136</v>
      </c>
      <c r="BR41" s="3" t="s">
        <v>211</v>
      </c>
      <c r="BS41" s="3" t="s">
        <v>212</v>
      </c>
      <c r="BT41" s="3" t="s">
        <v>213</v>
      </c>
      <c r="BU41" s="3" t="s">
        <v>140</v>
      </c>
      <c r="BV41" s="3" t="s">
        <v>141</v>
      </c>
      <c r="BW41" s="3">
        <v>2</v>
      </c>
      <c r="BX41" s="3" t="s">
        <v>214</v>
      </c>
      <c r="BY41" s="3" t="s">
        <v>215</v>
      </c>
    </row>
    <row r="42" spans="1:77">
      <c r="A42" s="3" t="s">
        <v>236</v>
      </c>
      <c r="B42" s="4">
        <v>46127.333333333336</v>
      </c>
      <c r="C42" s="5">
        <v>211</v>
      </c>
      <c r="D42" s="5">
        <v>18</v>
      </c>
      <c r="E42" s="5">
        <v>995.4</v>
      </c>
      <c r="F42" s="5">
        <v>83.49</v>
      </c>
      <c r="G42" s="5">
        <v>9.5000000000000639E-2</v>
      </c>
      <c r="H42" s="5">
        <v>0</v>
      </c>
      <c r="I42" s="5">
        <v>0.17</v>
      </c>
      <c r="J42" s="5">
        <v>32</v>
      </c>
      <c r="K42" s="5">
        <v>0</v>
      </c>
      <c r="L42" s="5">
        <v>32</v>
      </c>
      <c r="M42" s="5">
        <v>6.34</v>
      </c>
      <c r="N42" s="5">
        <v>15</v>
      </c>
      <c r="O42" s="3"/>
      <c r="P42" s="5">
        <v>101</v>
      </c>
      <c r="Q42" s="5">
        <v>10.479999999999999</v>
      </c>
      <c r="R42" s="3"/>
      <c r="S42" s="3"/>
      <c r="T42" s="3"/>
      <c r="U42" s="3"/>
      <c r="V42" s="3"/>
      <c r="W42" s="3"/>
      <c r="X42" s="3"/>
      <c r="Y42" s="3"/>
      <c r="Z42" s="3"/>
      <c r="AA42" s="3" t="s">
        <v>32</v>
      </c>
      <c r="AB42" s="3" t="s">
        <v>237</v>
      </c>
      <c r="AC42" s="3" t="s">
        <v>187</v>
      </c>
      <c r="AD42" s="3" t="s">
        <v>29</v>
      </c>
      <c r="AE42" s="5" t="s">
        <v>176</v>
      </c>
      <c r="AF42" s="5" t="s">
        <v>228</v>
      </c>
      <c r="AG42" s="3" t="s">
        <v>33</v>
      </c>
      <c r="AH42" s="3"/>
      <c r="AI42" s="3"/>
      <c r="AJ42" s="3"/>
      <c r="AK42" s="3">
        <v>-0.7</v>
      </c>
      <c r="AL42" s="3"/>
      <c r="AM42" s="3"/>
      <c r="AN42" s="3">
        <v>83.72</v>
      </c>
      <c r="AO42" s="3">
        <v>18.440000000000001</v>
      </c>
      <c r="AP42" s="3">
        <v>0.17</v>
      </c>
      <c r="AQ42" s="3"/>
      <c r="AR42" s="3">
        <v>10.78</v>
      </c>
      <c r="AS42" s="3">
        <v>10.479999999999999</v>
      </c>
      <c r="AT42" s="5" t="s">
        <v>125</v>
      </c>
      <c r="AU42" s="3" t="s">
        <v>188</v>
      </c>
      <c r="AV42" s="3" t="s">
        <v>127</v>
      </c>
      <c r="AW42" s="3">
        <v>50</v>
      </c>
      <c r="AX42" s="3" t="s">
        <v>128</v>
      </c>
      <c r="AY42" s="3" t="s">
        <v>159</v>
      </c>
      <c r="AZ42" s="3" t="s">
        <v>130</v>
      </c>
      <c r="BA42" s="3">
        <v>5.5279999999999996</v>
      </c>
      <c r="BB42" s="3">
        <v>5.6230000000000002</v>
      </c>
      <c r="BC42" s="3" t="s">
        <v>131</v>
      </c>
      <c r="BD42" s="3" t="s">
        <v>132</v>
      </c>
      <c r="BE42" s="3" t="s">
        <v>133</v>
      </c>
      <c r="BF42" s="3"/>
      <c r="BG42" s="3"/>
      <c r="BH42" s="3">
        <v>10</v>
      </c>
      <c r="BI42" s="3">
        <v>0</v>
      </c>
      <c r="BJ42" s="3">
        <v>10.479999999999999</v>
      </c>
      <c r="BK42" s="3">
        <v>12.5</v>
      </c>
      <c r="BL42" s="3">
        <v>225.64789991063469</v>
      </c>
      <c r="BM42" s="3">
        <v>9774.3521000893652</v>
      </c>
      <c r="BN42" s="5">
        <v>2026</v>
      </c>
      <c r="BO42" s="3" t="s">
        <v>134</v>
      </c>
      <c r="BP42" s="3" t="s">
        <v>135</v>
      </c>
      <c r="BQ42" s="3" t="s">
        <v>136</v>
      </c>
      <c r="BR42" s="3" t="s">
        <v>211</v>
      </c>
      <c r="BS42" s="3" t="s">
        <v>212</v>
      </c>
      <c r="BT42" s="3" t="s">
        <v>213</v>
      </c>
      <c r="BU42" s="3" t="s">
        <v>140</v>
      </c>
      <c r="BV42" s="3" t="s">
        <v>141</v>
      </c>
      <c r="BW42" s="3">
        <v>2</v>
      </c>
      <c r="BX42" s="3" t="s">
        <v>214</v>
      </c>
      <c r="BY42" s="3" t="s">
        <v>215</v>
      </c>
    </row>
    <row r="43" spans="1:77">
      <c r="A43" s="3" t="s">
        <v>238</v>
      </c>
      <c r="B43" s="4">
        <v>46129.666666666664</v>
      </c>
      <c r="C43" s="5">
        <v>0</v>
      </c>
      <c r="D43" s="5" t="n">
        <v>18.0</v>
      </c>
      <c r="E43" s="5"/>
      <c r="F43" s="5">
        <v>9.7200000000000006</v>
      </c>
      <c r="G43" s="5">
        <v>4.9000000000000377E-2</v>
      </c>
      <c r="H43" s="5">
        <v>77.52</v>
      </c>
      <c r="I43" s="5">
        <v>74.55</v>
      </c>
      <c r="J43" s="5">
        <v>98</v>
      </c>
      <c r="K43" s="5">
        <v>172</v>
      </c>
      <c r="L43" s="5">
        <v>239.04</v>
      </c>
      <c r="M43" s="5">
        <v>0.89</v>
      </c>
      <c r="N43" s="5">
        <v>0</v>
      </c>
      <c r="O43" s="3"/>
      <c r="P43" s="5">
        <v>0</v>
      </c>
      <c r="Q43" s="5">
        <v>1.49</v>
      </c>
      <c r="R43" s="3" t="s">
        <v>119</v>
      </c>
      <c r="S43" s="3"/>
      <c r="T43" s="3"/>
      <c r="U43" s="3"/>
      <c r="V43" s="3"/>
      <c r="W43" s="3"/>
      <c r="X43" s="3"/>
      <c r="Y43" s="3"/>
      <c r="Z43" s="3"/>
      <c r="AA43" s="3" t="s">
        <v>34</v>
      </c>
      <c r="AB43" s="3">
        <v>46129.666666666664</v>
      </c>
      <c r="AC43" s="3" t="s">
        <v>239</v>
      </c>
      <c r="AD43" s="3" t="s">
        <v>35</v>
      </c>
      <c r="AE43" s="5" t="inlineStr">
        <is>
          <t>Log SP: Temp_F1_lab007.csv</t>
        </is>
      </c>
      <c r="AF43" s="5" t="inlineStr">
        <is>
          <t>SP 18 C; registro de temperatura</t>
        </is>
      </c>
      <c r="AG43" s="3"/>
      <c r="AH43" s="3" t="s">
        <v>242</v>
      </c>
      <c r="AI43" s="3">
        <v>0</v>
      </c>
      <c r="AJ43" s="3" t="s">
        <v>124</v>
      </c>
      <c r="AK43" s="3"/>
      <c r="AL43" s="3">
        <v>3.06</v>
      </c>
      <c r="AM43" s="3">
        <v>1.41</v>
      </c>
      <c r="AN43" s="3">
        <v>9.75</v>
      </c>
      <c r="AO43" s="3">
        <v>12.99</v>
      </c>
      <c r="AP43" s="3">
        <v>152.07</v>
      </c>
      <c r="AQ43" s="3">
        <v>7.0000000000000007E-2</v>
      </c>
      <c r="AR43" s="3">
        <v>1.79</v>
      </c>
      <c r="AS43" s="3">
        <v>1.49</v>
      </c>
      <c r="AT43" s="5" t="s">
        <v>125</v>
      </c>
      <c r="AU43" s="3"/>
      <c r="AV43" s="3"/>
      <c r="AW43" s="3"/>
      <c r="AX43" s="3"/>
      <c r="AY43" s="3"/>
      <c r="AZ43" s="3"/>
      <c r="BA43" s="3">
        <v>5.56</v>
      </c>
      <c r="BB43" s="3">
        <v>5.609</v>
      </c>
      <c r="BC43" s="3" t="s">
        <v>131</v>
      </c>
      <c r="BD43" s="3" t="s">
        <v>243</v>
      </c>
      <c r="BE43" s="3" t="s">
        <v>244</v>
      </c>
      <c r="BF43" s="3"/>
      <c r="BG43" s="3"/>
      <c r="BH43" s="3">
        <v>10</v>
      </c>
      <c r="BI43" s="3">
        <v>0</v>
      </c>
      <c r="BJ43" s="3">
        <v>1.49</v>
      </c>
      <c r="BK43" s="3">
        <v>12.5</v>
      </c>
      <c r="BL43" s="3">
        <v>1117.6530301492232</v>
      </c>
      <c r="BM43" s="3">
        <v>8882.3469698507761</v>
      </c>
      <c r="BN43" s="5"/>
      <c r="BO43" s="3"/>
      <c r="BP43" s="3" t="s">
        <v>245</v>
      </c>
      <c r="BQ43" s="3"/>
      <c r="BR43" s="3"/>
      <c r="BS43" s="3"/>
      <c r="BT43" s="3"/>
      <c r="BU43" s="3"/>
      <c r="BV43" s="3" t="s">
        <v>141</v>
      </c>
      <c r="BW43" s="3"/>
      <c r="BX43" s="3"/>
      <c r="BY43" s="3"/>
    </row>
    <row r="44" spans="1:77">
      <c r="A44" s="3" t="s">
        <v>246</v>
      </c>
      <c r="B44" s="4">
        <v>46130.333333333336</v>
      </c>
      <c r="C44" s="5">
        <v>16</v>
      </c>
      <c r="D44" s="5" t="n">
        <v>18.0</v>
      </c>
      <c r="E44" s="5">
        <v>1062.5999999999999</v>
      </c>
      <c r="F44" s="5">
        <v>21.04</v>
      </c>
      <c r="G44" s="5"/>
      <c r="H44" s="5">
        <v>70.58</v>
      </c>
      <c r="I44" s="5">
        <v>72.399999999999991</v>
      </c>
      <c r="J44" s="5">
        <v>74</v>
      </c>
      <c r="K44" s="5">
        <v>142</v>
      </c>
      <c r="L44" s="5">
        <v>190.44</v>
      </c>
      <c r="M44" s="5">
        <v>1.5</v>
      </c>
      <c r="N44" s="5">
        <v>18</v>
      </c>
      <c r="O44" s="3"/>
      <c r="P44" s="5">
        <v>103</v>
      </c>
      <c r="Q44" s="5">
        <v>-0.3</v>
      </c>
      <c r="R44" s="3"/>
      <c r="S44" s="3"/>
      <c r="T44" s="3"/>
      <c r="U44" s="3"/>
      <c r="V44" s="3"/>
      <c r="W44" s="3"/>
      <c r="X44" s="3"/>
      <c r="Y44" s="3"/>
      <c r="Z44" s="3"/>
      <c r="AA44" s="3" t="s">
        <v>34</v>
      </c>
      <c r="AB44" s="3">
        <v>46130.333333333336</v>
      </c>
      <c r="AC44" s="3" t="s">
        <v>239</v>
      </c>
      <c r="AD44" s="3" t="s">
        <v>35</v>
      </c>
      <c r="AE44" s="5" t="inlineStr">
        <is>
          <t>Log SP: Temp_F1_lab007.csv</t>
        </is>
      </c>
      <c r="AF44" s="5" t="inlineStr">
        <is>
          <t>SP 18 C; registro de temperatura</t>
        </is>
      </c>
      <c r="AG44" s="3"/>
      <c r="AH44" s="3"/>
      <c r="AI44" s="3"/>
      <c r="AJ44" s="3"/>
      <c r="AK44" s="3">
        <v>15.9</v>
      </c>
      <c r="AL44" s="3">
        <v>3.03</v>
      </c>
      <c r="AM44" s="3">
        <v>1.03</v>
      </c>
      <c r="AN44" s="3">
        <v>21.31</v>
      </c>
      <c r="AO44" s="3">
        <v>36.4</v>
      </c>
      <c r="AP44" s="3">
        <v>142.97999999999999</v>
      </c>
      <c r="AQ44" s="3">
        <v>0.15</v>
      </c>
      <c r="AR44" s="3"/>
      <c r="AS44" s="3">
        <v>-0.3</v>
      </c>
      <c r="AT44" s="5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5"/>
      <c r="BO44" s="3"/>
      <c r="BP44" s="3" t="s">
        <v>245</v>
      </c>
      <c r="BQ44" s="3"/>
      <c r="BR44" s="3"/>
      <c r="BS44" s="3"/>
      <c r="BT44" s="3"/>
      <c r="BU44" s="3"/>
      <c r="BV44" s="3" t="s">
        <v>141</v>
      </c>
      <c r="BW44" s="3"/>
      <c r="BX44" s="3"/>
      <c r="BY44" s="3"/>
    </row>
    <row r="45" spans="1:77">
      <c r="A45" s="3" t="s">
        <v>247</v>
      </c>
      <c r="B45" s="4">
        <v>46130.666666666664</v>
      </c>
      <c r="C45" s="5">
        <v>24</v>
      </c>
      <c r="D45" s="5" t="n">
        <v>18.0</v>
      </c>
      <c r="E45" s="5">
        <v>1062.5</v>
      </c>
      <c r="F45" s="5">
        <v>24.46</v>
      </c>
      <c r="G45" s="5"/>
      <c r="H45" s="5">
        <v>71.45</v>
      </c>
      <c r="I45" s="5">
        <v>76.459999999999994</v>
      </c>
      <c r="J45" s="5">
        <v>67</v>
      </c>
      <c r="K45" s="5">
        <v>135</v>
      </c>
      <c r="L45" s="5">
        <v>177.7</v>
      </c>
      <c r="M45" s="5">
        <v>1.46</v>
      </c>
      <c r="N45" s="5">
        <v>20</v>
      </c>
      <c r="O45" s="3"/>
      <c r="P45" s="5">
        <v>101</v>
      </c>
      <c r="Q45" s="5">
        <v>2.72</v>
      </c>
      <c r="R45" s="3"/>
      <c r="S45" s="3"/>
      <c r="T45" s="3"/>
      <c r="U45" s="3"/>
      <c r="V45" s="3"/>
      <c r="W45" s="3"/>
      <c r="X45" s="3"/>
      <c r="Y45" s="3"/>
      <c r="Z45" s="3"/>
      <c r="AA45" s="3" t="s">
        <v>34</v>
      </c>
      <c r="AB45" s="3">
        <v>46130.666666666664</v>
      </c>
      <c r="AC45" s="3" t="s">
        <v>239</v>
      </c>
      <c r="AD45" s="3" t="s">
        <v>35</v>
      </c>
      <c r="AE45" s="5" t="inlineStr">
        <is>
          <t>Log SP: Temp_F1_lab007.csv</t>
        </is>
      </c>
      <c r="AF45" s="5" t="inlineStr">
        <is>
          <t>SP 18 C; registro de temperatura</t>
        </is>
      </c>
      <c r="AG45" s="3"/>
      <c r="AH45" s="3"/>
      <c r="AI45" s="3"/>
      <c r="AJ45" s="3"/>
      <c r="AK45" s="3">
        <v>15.8</v>
      </c>
      <c r="AL45" s="3">
        <v>2.99</v>
      </c>
      <c r="AM45" s="3">
        <v>1.18</v>
      </c>
      <c r="AN45" s="3">
        <v>24.5</v>
      </c>
      <c r="AO45" s="3">
        <v>39.81</v>
      </c>
      <c r="AP45" s="3">
        <v>147.91</v>
      </c>
      <c r="AQ45" s="3">
        <v>0.12</v>
      </c>
      <c r="AR45" s="3">
        <v>3.02</v>
      </c>
      <c r="AS45" s="3">
        <v>2.72</v>
      </c>
      <c r="AT45" s="5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5"/>
      <c r="BO45" s="3"/>
      <c r="BP45" s="3" t="s">
        <v>245</v>
      </c>
      <c r="BQ45" s="3"/>
      <c r="BR45" s="3"/>
      <c r="BS45" s="3"/>
      <c r="BT45" s="3"/>
      <c r="BU45" s="3"/>
      <c r="BV45" s="3" t="s">
        <v>141</v>
      </c>
      <c r="BW45" s="3"/>
      <c r="BX45" s="3"/>
      <c r="BY45" s="3"/>
    </row>
    <row r="46" spans="1:77">
      <c r="A46" s="3" t="s">
        <v>248</v>
      </c>
      <c r="B46" s="4">
        <v>46131.333333333336</v>
      </c>
      <c r="C46" s="5">
        <v>40</v>
      </c>
      <c r="D46" s="5" t="n">
        <v>18.0</v>
      </c>
      <c r="E46" s="5">
        <v>1052</v>
      </c>
      <c r="F46" s="5">
        <v>41.59</v>
      </c>
      <c r="G46" s="5"/>
      <c r="H46" s="5">
        <v>56.1</v>
      </c>
      <c r="I46" s="5">
        <v>65.109999999999985</v>
      </c>
      <c r="J46" s="5">
        <v>36</v>
      </c>
      <c r="K46" s="5">
        <v>32</v>
      </c>
      <c r="L46" s="5">
        <v>62.239999999999995</v>
      </c>
      <c r="M46" s="5">
        <v>3.37</v>
      </c>
      <c r="N46" s="5">
        <v>60</v>
      </c>
      <c r="O46" s="3"/>
      <c r="P46" s="5">
        <v>113</v>
      </c>
      <c r="Q46" s="5">
        <v>-0.3</v>
      </c>
      <c r="R46" s="3"/>
      <c r="S46" s="3"/>
      <c r="T46" s="3"/>
      <c r="U46" s="3"/>
      <c r="V46" s="3"/>
      <c r="W46" s="3"/>
      <c r="X46" s="3"/>
      <c r="Y46" s="3"/>
      <c r="Z46" s="3"/>
      <c r="AA46" s="3" t="s">
        <v>34</v>
      </c>
      <c r="AB46" s="3">
        <v>46131.333333333336</v>
      </c>
      <c r="AC46" s="3" t="s">
        <v>239</v>
      </c>
      <c r="AD46" s="3" t="s">
        <v>35</v>
      </c>
      <c r="AE46" s="5" t="inlineStr">
        <is>
          <t>Log SP: Temp_F1_lab007.csv</t>
        </is>
      </c>
      <c r="AF46" s="5" t="inlineStr">
        <is>
          <t>SP 18 C; registro de temperatura</t>
        </is>
      </c>
      <c r="AG46" s="3"/>
      <c r="AH46" s="3"/>
      <c r="AI46" s="3"/>
      <c r="AJ46" s="3"/>
      <c r="AK46" s="3">
        <v>13.2</v>
      </c>
      <c r="AL46" s="3">
        <v>2.83</v>
      </c>
      <c r="AM46" s="3">
        <v>0.8</v>
      </c>
      <c r="AN46" s="3">
        <v>41.71</v>
      </c>
      <c r="AO46" s="3">
        <v>28.64</v>
      </c>
      <c r="AP46" s="3">
        <v>121.21</v>
      </c>
      <c r="AQ46" s="3">
        <v>0.23</v>
      </c>
      <c r="AR46" s="3"/>
      <c r="AS46" s="3">
        <v>-0.3</v>
      </c>
      <c r="AT46" s="5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5"/>
      <c r="BO46" s="3"/>
      <c r="BP46" s="3" t="s">
        <v>245</v>
      </c>
      <c r="BQ46" s="3"/>
      <c r="BR46" s="3"/>
      <c r="BS46" s="3"/>
      <c r="BT46" s="3"/>
      <c r="BU46" s="3"/>
      <c r="BV46" s="3" t="s">
        <v>141</v>
      </c>
      <c r="BW46" s="3"/>
      <c r="BX46" s="3"/>
      <c r="BY46" s="3"/>
    </row>
    <row r="47" spans="1:77">
      <c r="A47" s="3" t="s">
        <v>249</v>
      </c>
      <c r="B47" s="4">
        <v>46131.666666666664</v>
      </c>
      <c r="C47" s="5">
        <v>48</v>
      </c>
      <c r="D47" s="5" t="n">
        <v>18.0</v>
      </c>
      <c r="E47" s="5">
        <v>1046.7</v>
      </c>
      <c r="F47" s="5">
        <v>47.08</v>
      </c>
      <c r="G47" s="5">
        <v>7.6000000000000512E-2</v>
      </c>
      <c r="H47" s="5">
        <v>49.74</v>
      </c>
      <c r="I47" s="5">
        <v>55.43</v>
      </c>
      <c r="J47" s="5">
        <v>35</v>
      </c>
      <c r="K47" s="5">
        <v>5</v>
      </c>
      <c r="L47" s="5">
        <v>39.1</v>
      </c>
      <c r="M47" s="5">
        <v>3.36</v>
      </c>
      <c r="N47" s="5">
        <v>44</v>
      </c>
      <c r="O47" s="3"/>
      <c r="P47" s="5">
        <v>123</v>
      </c>
      <c r="Q47" s="5">
        <v>3.84</v>
      </c>
      <c r="R47" s="3"/>
      <c r="S47" s="3"/>
      <c r="T47" s="3"/>
      <c r="U47" s="3"/>
      <c r="V47" s="3"/>
      <c r="W47" s="3"/>
      <c r="X47" s="3"/>
      <c r="Y47" s="3"/>
      <c r="Z47" s="3"/>
      <c r="AA47" s="3" t="s">
        <v>34</v>
      </c>
      <c r="AB47" s="3">
        <v>46131.666666666664</v>
      </c>
      <c r="AC47" s="3" t="s">
        <v>239</v>
      </c>
      <c r="AD47" s="3" t="s">
        <v>35</v>
      </c>
      <c r="AE47" s="5" t="inlineStr">
        <is>
          <t>Log SP: Temp_F1_lab007.csv</t>
        </is>
      </c>
      <c r="AF47" s="5" t="inlineStr">
        <is>
          <t>SP 18 C; registro de temperatura</t>
        </is>
      </c>
      <c r="AG47" s="3"/>
      <c r="AH47" s="3"/>
      <c r="AI47" s="3"/>
      <c r="AJ47" s="3"/>
      <c r="AK47" s="3">
        <v>11.8</v>
      </c>
      <c r="AL47" s="3">
        <v>2.78</v>
      </c>
      <c r="AM47" s="3">
        <v>0.63</v>
      </c>
      <c r="AN47" s="3">
        <v>47.08</v>
      </c>
      <c r="AO47" s="3">
        <v>25.69</v>
      </c>
      <c r="AP47" s="3">
        <v>105.17</v>
      </c>
      <c r="AQ47" s="3">
        <v>0.22</v>
      </c>
      <c r="AR47" s="3">
        <v>4.1399999999999997</v>
      </c>
      <c r="AS47" s="3">
        <v>3.84</v>
      </c>
      <c r="AT47" s="5" t="s">
        <v>125</v>
      </c>
      <c r="AU47" s="3"/>
      <c r="AV47" s="3"/>
      <c r="AW47" s="3"/>
      <c r="AX47" s="3"/>
      <c r="AY47" s="3"/>
      <c r="AZ47" s="3"/>
      <c r="BA47" s="3">
        <v>5.5839999999999996</v>
      </c>
      <c r="BB47" s="3">
        <v>5.66</v>
      </c>
      <c r="BC47" s="3" t="s">
        <v>250</v>
      </c>
      <c r="BD47" s="3" t="s">
        <v>243</v>
      </c>
      <c r="BE47" s="3" t="s">
        <v>244</v>
      </c>
      <c r="BF47" s="3"/>
      <c r="BG47" s="3"/>
      <c r="BH47" s="3">
        <v>10</v>
      </c>
      <c r="BI47" s="3">
        <v>0</v>
      </c>
      <c r="BJ47" s="3">
        <v>3.84</v>
      </c>
      <c r="BK47" s="3">
        <v>12.5</v>
      </c>
      <c r="BL47" s="3">
        <v>900.58236272878537</v>
      </c>
      <c r="BM47" s="3">
        <v>9099.4176372712154</v>
      </c>
      <c r="BN47" s="5"/>
      <c r="BO47" s="3"/>
      <c r="BP47" s="3" t="s">
        <v>245</v>
      </c>
      <c r="BQ47" s="3"/>
      <c r="BR47" s="3"/>
      <c r="BS47" s="3"/>
      <c r="BT47" s="3"/>
      <c r="BU47" s="3"/>
      <c r="BV47" s="3" t="s">
        <v>141</v>
      </c>
      <c r="BW47" s="3"/>
      <c r="BX47" s="3"/>
      <c r="BY47" s="3"/>
    </row>
    <row r="48" spans="1:77">
      <c r="A48" s="3" t="s">
        <v>251</v>
      </c>
      <c r="B48" s="4">
        <v>46132.333333333336</v>
      </c>
      <c r="C48" s="5">
        <v>64</v>
      </c>
      <c r="D48" s="5" t="n">
        <v>18.0</v>
      </c>
      <c r="E48" s="5">
        <v>1033.7</v>
      </c>
      <c r="F48" s="5">
        <v>56.68</v>
      </c>
      <c r="G48" s="5"/>
      <c r="H48" s="5">
        <v>29.71</v>
      </c>
      <c r="I48" s="5">
        <v>51.910000000000004</v>
      </c>
      <c r="J48" s="5">
        <v>2</v>
      </c>
      <c r="K48" s="5">
        <v>0</v>
      </c>
      <c r="L48" s="5">
        <v>2</v>
      </c>
      <c r="M48" s="5">
        <v>4.17</v>
      </c>
      <c r="N48" s="5">
        <v>32</v>
      </c>
      <c r="O48" s="3"/>
      <c r="P48" s="5">
        <v>104</v>
      </c>
      <c r="Q48" s="5">
        <v>-0.3</v>
      </c>
      <c r="R48" s="3"/>
      <c r="S48" s="3"/>
      <c r="T48" s="3"/>
      <c r="U48" s="3"/>
      <c r="V48" s="3"/>
      <c r="W48" s="3"/>
      <c r="X48" s="3"/>
      <c r="Y48" s="3"/>
      <c r="Z48" s="3"/>
      <c r="AA48" s="3" t="s">
        <v>34</v>
      </c>
      <c r="AB48" s="3">
        <v>46132.333333333336</v>
      </c>
      <c r="AC48" s="3" t="s">
        <v>239</v>
      </c>
      <c r="AD48" s="3" t="s">
        <v>35</v>
      </c>
      <c r="AE48" s="5" t="inlineStr">
        <is>
          <t>Log SP: Temp_F1_lab007.csv</t>
        </is>
      </c>
      <c r="AF48" s="5" t="inlineStr">
        <is>
          <t>SP 18 C; registro de temperatura</t>
        </is>
      </c>
      <c r="AG48" s="3"/>
      <c r="AH48" s="3"/>
      <c r="AI48" s="3"/>
      <c r="AJ48" s="3"/>
      <c r="AK48" s="3">
        <v>8.8000000000000007</v>
      </c>
      <c r="AL48" s="3">
        <v>2.76</v>
      </c>
      <c r="AM48" s="3">
        <v>0.79</v>
      </c>
      <c r="AN48" s="3">
        <v>56.99</v>
      </c>
      <c r="AO48" s="3">
        <v>21.16</v>
      </c>
      <c r="AP48" s="3">
        <v>81.62</v>
      </c>
      <c r="AQ48" s="3">
        <v>0.39</v>
      </c>
      <c r="AR48" s="3"/>
      <c r="AS48" s="3">
        <v>-0.3</v>
      </c>
      <c r="AT48" s="5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5"/>
      <c r="BO48" s="3"/>
      <c r="BP48" s="3" t="s">
        <v>245</v>
      </c>
      <c r="BQ48" s="3"/>
      <c r="BR48" s="3"/>
      <c r="BS48" s="3"/>
      <c r="BT48" s="3"/>
      <c r="BU48" s="3"/>
      <c r="BV48" s="3" t="s">
        <v>141</v>
      </c>
      <c r="BW48" s="3"/>
      <c r="BX48" s="3"/>
      <c r="BY48" s="3"/>
    </row>
    <row r="49" spans="1:77">
      <c r="A49" s="3" t="s">
        <v>252</v>
      </c>
      <c r="B49" s="4">
        <v>46132.666666666664</v>
      </c>
      <c r="C49" s="5">
        <v>72</v>
      </c>
      <c r="D49" s="5">
        <v>18</v>
      </c>
      <c r="E49" s="5">
        <v>1026.0999999999999</v>
      </c>
      <c r="F49" s="5">
        <v>56.68</v>
      </c>
      <c r="G49" s="5"/>
      <c r="H49" s="5">
        <v>24.29</v>
      </c>
      <c r="I49" s="5">
        <v>45.88</v>
      </c>
      <c r="J49" s="5">
        <v>24</v>
      </c>
      <c r="K49" s="5">
        <v>29</v>
      </c>
      <c r="L49" s="5">
        <v>47.78</v>
      </c>
      <c r="M49" s="5">
        <v>3.6</v>
      </c>
      <c r="N49" s="5">
        <v>35</v>
      </c>
      <c r="O49" s="3"/>
      <c r="P49" s="5">
        <v>122</v>
      </c>
      <c r="Q49" s="5">
        <v>-0.3</v>
      </c>
      <c r="R49" s="3"/>
      <c r="S49" s="3"/>
      <c r="T49" s="3"/>
      <c r="U49" s="3"/>
      <c r="V49" s="3"/>
      <c r="W49" s="3"/>
      <c r="X49" s="3"/>
      <c r="Y49" s="3"/>
      <c r="Z49" s="3"/>
      <c r="AA49" s="3" t="s">
        <v>34</v>
      </c>
      <c r="AB49" s="3">
        <v>46132.666666666664</v>
      </c>
      <c r="AC49" s="3" t="s">
        <v>239</v>
      </c>
      <c r="AD49" s="3" t="s">
        <v>35</v>
      </c>
      <c r="AE49" s="5" t="inlineStr">
        <is>
          <t>Log SP: Temp_F1_lab007.csv</t>
        </is>
      </c>
      <c r="AF49" s="5" t="inlineStr">
        <is>
          <t>SP 18 C; registro de temperatura</t>
        </is>
      </c>
      <c r="AG49" s="3"/>
      <c r="AH49" s="3"/>
      <c r="AI49" s="3"/>
      <c r="AJ49" s="3"/>
      <c r="AK49" s="3">
        <v>7.1</v>
      </c>
      <c r="AL49" s="3">
        <v>2.84</v>
      </c>
      <c r="AM49" s="3">
        <v>0.33</v>
      </c>
      <c r="AN49" s="3">
        <v>56.99</v>
      </c>
      <c r="AO49" s="3">
        <v>22.64</v>
      </c>
      <c r="AP49" s="3">
        <v>70.17</v>
      </c>
      <c r="AQ49" s="3">
        <v>0.3</v>
      </c>
      <c r="AR49" s="3"/>
      <c r="AS49" s="3">
        <v>-0.3</v>
      </c>
      <c r="AT49" s="5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5"/>
      <c r="BO49" s="3"/>
      <c r="BP49" s="3" t="s">
        <v>245</v>
      </c>
      <c r="BQ49" s="3"/>
      <c r="BR49" s="3"/>
      <c r="BS49" s="3"/>
      <c r="BT49" s="3"/>
      <c r="BU49" s="3"/>
      <c r="BV49" s="3" t="s">
        <v>141</v>
      </c>
      <c r="BW49" s="3"/>
      <c r="BX49" s="3"/>
      <c r="BY49" s="3"/>
    </row>
    <row r="50" spans="1:77">
      <c r="A50" s="3" t="s">
        <v>254</v>
      </c>
      <c r="B50" s="4">
        <v>46133.333333333336</v>
      </c>
      <c r="C50" s="5">
        <v>88</v>
      </c>
      <c r="D50" s="5">
        <v>18</v>
      </c>
      <c r="E50" s="5">
        <v>1013.6</v>
      </c>
      <c r="F50" s="5">
        <v>64.819999999999993</v>
      </c>
      <c r="G50" s="5">
        <v>0.10599999999999987</v>
      </c>
      <c r="H50" s="5">
        <v>11.91</v>
      </c>
      <c r="I50" s="5">
        <v>25.860000000000003</v>
      </c>
      <c r="J50" s="5">
        <v>19</v>
      </c>
      <c r="K50" s="5">
        <v>0</v>
      </c>
      <c r="L50" s="5">
        <v>19</v>
      </c>
      <c r="M50" s="5">
        <v>5.42</v>
      </c>
      <c r="N50" s="5">
        <v>18</v>
      </c>
      <c r="O50" s="3"/>
      <c r="P50" s="5">
        <v>106</v>
      </c>
      <c r="Q50" s="5">
        <v>8.0399999999999991</v>
      </c>
      <c r="R50" s="3"/>
      <c r="S50" s="3"/>
      <c r="T50" s="3"/>
      <c r="U50" s="3"/>
      <c r="V50" s="3"/>
      <c r="W50" s="3"/>
      <c r="X50" s="3"/>
      <c r="Y50" s="3"/>
      <c r="Z50" s="3"/>
      <c r="AA50" s="3" t="s">
        <v>34</v>
      </c>
      <c r="AB50" s="3">
        <v>46133.333333333336</v>
      </c>
      <c r="AC50" s="3" t="s">
        <v>239</v>
      </c>
      <c r="AD50" s="3" t="s">
        <v>35</v>
      </c>
      <c r="AE50" s="5" t="inlineStr">
        <is>
          <t>Log SP: Temp_F1_lab007.csv</t>
        </is>
      </c>
      <c r="AF50" s="5" t="inlineStr">
        <is>
          <t>SP 18 C; registro de temperatura</t>
        </is>
      </c>
      <c r="AG50" s="3"/>
      <c r="AH50" s="3"/>
      <c r="AI50" s="3"/>
      <c r="AJ50" s="3"/>
      <c r="AK50" s="3">
        <v>4</v>
      </c>
      <c r="AL50" s="3">
        <v>2.82</v>
      </c>
      <c r="AM50" s="3">
        <v>0.5</v>
      </c>
      <c r="AN50" s="3">
        <v>65.209999999999994</v>
      </c>
      <c r="AO50" s="3">
        <v>22.61</v>
      </c>
      <c r="AP50" s="3">
        <v>37.770000000000003</v>
      </c>
      <c r="AQ50" s="3">
        <v>0.28000000000000003</v>
      </c>
      <c r="AR50" s="3">
        <v>8.34</v>
      </c>
      <c r="AS50" s="3">
        <v>8.0399999999999991</v>
      </c>
      <c r="AT50" s="5" t="s">
        <v>125</v>
      </c>
      <c r="AU50" s="3"/>
      <c r="AV50" s="3"/>
      <c r="AW50" s="3"/>
      <c r="AX50" s="3"/>
      <c r="AY50" s="3"/>
      <c r="AZ50" s="3"/>
      <c r="BA50" s="3">
        <v>5.5469999999999997</v>
      </c>
      <c r="BB50" s="3">
        <v>5.6529999999999996</v>
      </c>
      <c r="BC50" s="3" t="s">
        <v>250</v>
      </c>
      <c r="BD50" s="3" t="s">
        <v>243</v>
      </c>
      <c r="BE50" s="3" t="s">
        <v>244</v>
      </c>
      <c r="BF50" s="3"/>
      <c r="BG50" s="3"/>
      <c r="BH50" s="3">
        <v>10</v>
      </c>
      <c r="BI50" s="3">
        <v>0</v>
      </c>
      <c r="BJ50" s="3">
        <v>8.0399999999999991</v>
      </c>
      <c r="BK50" s="3">
        <v>12.5</v>
      </c>
      <c r="BL50" s="3">
        <v>484.99347542409748</v>
      </c>
      <c r="BM50" s="3">
        <v>9515.0065245759033</v>
      </c>
      <c r="BN50" s="5"/>
      <c r="BO50" s="3"/>
      <c r="BP50" s="3" t="s">
        <v>245</v>
      </c>
      <c r="BQ50" s="3"/>
      <c r="BR50" s="3"/>
      <c r="BS50" s="3"/>
      <c r="BT50" s="3"/>
      <c r="BU50" s="3"/>
      <c r="BV50" s="3" t="s">
        <v>141</v>
      </c>
      <c r="BW50" s="3"/>
      <c r="BX50" s="3"/>
      <c r="BY50" s="3"/>
    </row>
    <row r="51" spans="1:77">
      <c r="A51" s="3" t="s">
        <v>255</v>
      </c>
      <c r="B51" s="4">
        <v>46133.666666666664</v>
      </c>
      <c r="C51" s="5">
        <v>96</v>
      </c>
      <c r="D51" s="5" t="n">
        <v>21.0</v>
      </c>
      <c r="E51" s="5">
        <v>1010</v>
      </c>
      <c r="F51" s="5">
        <v>56.53</v>
      </c>
      <c r="G51" s="5"/>
      <c r="H51" s="5">
        <v>7.07</v>
      </c>
      <c r="I51" s="5">
        <v>23.94</v>
      </c>
      <c r="J51" s="5">
        <v>30</v>
      </c>
      <c r="K51" s="5">
        <v>0</v>
      </c>
      <c r="L51" s="5">
        <v>30</v>
      </c>
      <c r="M51" s="5">
        <v>5.35</v>
      </c>
      <c r="N51" s="5">
        <v>31</v>
      </c>
      <c r="O51" s="3"/>
      <c r="P51" s="5">
        <v>95</v>
      </c>
      <c r="Q51" s="5">
        <v>-0.3</v>
      </c>
      <c r="R51" s="3"/>
      <c r="S51" s="3"/>
      <c r="T51" s="3"/>
      <c r="U51" s="3"/>
      <c r="V51" s="3"/>
      <c r="W51" s="3"/>
      <c r="X51" s="3"/>
      <c r="Y51" s="3"/>
      <c r="Z51" s="3"/>
      <c r="AA51" s="3" t="s">
        <v>34</v>
      </c>
      <c r="AB51" s="3">
        <v>46133.666666666664</v>
      </c>
      <c r="AC51" s="3" t="s">
        <v>239</v>
      </c>
      <c r="AD51" s="3" t="s">
        <v>35</v>
      </c>
      <c r="AE51" s="5" t="inlineStr">
        <is>
          <t>Log SP: Temp_F1_lab007.csv</t>
        </is>
      </c>
      <c r="AF51" s="5" t="inlineStr">
        <is>
          <t>SP 21 C; registro de temperatura</t>
        </is>
      </c>
      <c r="AG51" s="3"/>
      <c r="AH51" s="3"/>
      <c r="AI51" s="3"/>
      <c r="AJ51" s="3"/>
      <c r="AK51" s="3">
        <v>3.1</v>
      </c>
      <c r="AL51" s="3">
        <v>2.84</v>
      </c>
      <c r="AM51" s="3">
        <v>0.34</v>
      </c>
      <c r="AN51" s="3">
        <v>56.84</v>
      </c>
      <c r="AO51" s="3">
        <v>24.05</v>
      </c>
      <c r="AP51" s="3">
        <v>31.01</v>
      </c>
      <c r="AQ51" s="3">
        <v>0.36</v>
      </c>
      <c r="AR51" s="3"/>
      <c r="AS51" s="3">
        <v>-0.3</v>
      </c>
      <c r="AT51" s="5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5"/>
      <c r="BO51" s="3"/>
      <c r="BP51" s="3" t="s">
        <v>245</v>
      </c>
      <c r="BQ51" s="3"/>
      <c r="BR51" s="3"/>
      <c r="BS51" s="3"/>
      <c r="BT51" s="3"/>
      <c r="BU51" s="3"/>
      <c r="BV51" s="3" t="s">
        <v>141</v>
      </c>
      <c r="BW51" s="3"/>
      <c r="BX51" s="3"/>
      <c r="BY51" s="3"/>
    </row>
    <row r="52" spans="1:77">
      <c r="A52" s="3" t="s">
        <v>256</v>
      </c>
      <c r="B52" s="4">
        <v>46134.333333333336</v>
      </c>
      <c r="C52" s="5">
        <v>112</v>
      </c>
      <c r="D52" s="5" t="n">
        <v>21.0</v>
      </c>
      <c r="E52" s="5">
        <v>999.6</v>
      </c>
      <c r="F52" s="5">
        <v>59.83</v>
      </c>
      <c r="G52" s="5"/>
      <c r="H52" s="5">
        <v>0.48</v>
      </c>
      <c r="I52" s="5">
        <v>6.52</v>
      </c>
      <c r="J52" s="5">
        <v>6</v>
      </c>
      <c r="K52" s="5">
        <v>0</v>
      </c>
      <c r="L52" s="5">
        <v>6</v>
      </c>
      <c r="M52" s="5">
        <v>5.76</v>
      </c>
      <c r="N52" s="5">
        <v>18</v>
      </c>
      <c r="O52" s="3"/>
      <c r="P52" s="5">
        <v>89</v>
      </c>
      <c r="Q52" s="5">
        <v>-0.3</v>
      </c>
      <c r="R52" s="3"/>
      <c r="S52" s="3"/>
      <c r="T52" s="3"/>
      <c r="U52" s="3"/>
      <c r="V52" s="3"/>
      <c r="W52" s="3"/>
      <c r="X52" s="3"/>
      <c r="Y52" s="3"/>
      <c r="Z52" s="3"/>
      <c r="AA52" s="3" t="s">
        <v>34</v>
      </c>
      <c r="AB52" s="3">
        <v>46134.333333333336</v>
      </c>
      <c r="AC52" s="3" t="s">
        <v>239</v>
      </c>
      <c r="AD52" s="3" t="s">
        <v>35</v>
      </c>
      <c r="AE52" s="5" t="inlineStr">
        <is>
          <t>Log SP: Temp_F1_lab007.csv</t>
        </is>
      </c>
      <c r="AF52" s="5" t="inlineStr">
        <is>
          <t>SP 21 C; registro de temperatura</t>
        </is>
      </c>
      <c r="AG52" s="3"/>
      <c r="AH52" s="3"/>
      <c r="AI52" s="3"/>
      <c r="AJ52" s="3"/>
      <c r="AK52" s="3">
        <v>0.5</v>
      </c>
      <c r="AL52" s="3">
        <v>2.84</v>
      </c>
      <c r="AM52" s="3">
        <v>0.39</v>
      </c>
      <c r="AN52" s="3">
        <v>60.29</v>
      </c>
      <c r="AO52" s="3">
        <v>22.17</v>
      </c>
      <c r="AP52" s="3">
        <v>7</v>
      </c>
      <c r="AQ52" s="3">
        <v>0.41</v>
      </c>
      <c r="AR52" s="3"/>
      <c r="AS52" s="3">
        <v>-0.3</v>
      </c>
      <c r="AT52" s="5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5"/>
      <c r="BO52" s="3"/>
      <c r="BP52" s="3" t="s">
        <v>245</v>
      </c>
      <c r="BQ52" s="3"/>
      <c r="BR52" s="3"/>
      <c r="BS52" s="3"/>
      <c r="BT52" s="3"/>
      <c r="BU52" s="3"/>
      <c r="BV52" s="3" t="s">
        <v>141</v>
      </c>
      <c r="BW52" s="3"/>
      <c r="BX52" s="3"/>
      <c r="BY52" s="3"/>
    </row>
    <row r="53" spans="1:77">
      <c r="A53" s="3" t="s">
        <v>257</v>
      </c>
      <c r="B53" s="4">
        <v>46134.666666666664</v>
      </c>
      <c r="C53" s="5">
        <v>120</v>
      </c>
      <c r="D53" s="5" t="n">
        <v>21.0</v>
      </c>
      <c r="E53" s="5">
        <v>997.4</v>
      </c>
      <c r="F53" s="5">
        <v>58.91</v>
      </c>
      <c r="G53" s="5"/>
      <c r="H53" s="5">
        <v>0.08</v>
      </c>
      <c r="I53" s="5">
        <v>3.34</v>
      </c>
      <c r="J53" s="5">
        <v>6</v>
      </c>
      <c r="K53" s="5">
        <v>0</v>
      </c>
      <c r="L53" s="5">
        <v>6</v>
      </c>
      <c r="M53" s="5">
        <v>5.69</v>
      </c>
      <c r="N53" s="5">
        <v>20</v>
      </c>
      <c r="O53" s="3"/>
      <c r="P53" s="5">
        <v>90</v>
      </c>
      <c r="Q53" s="5">
        <v>-0.3</v>
      </c>
      <c r="R53" s="3"/>
      <c r="S53" s="3"/>
      <c r="T53" s="3"/>
      <c r="U53" s="3"/>
      <c r="V53" s="3"/>
      <c r="W53" s="3"/>
      <c r="X53" s="3"/>
      <c r="Y53" s="3"/>
      <c r="Z53" s="3"/>
      <c r="AA53" s="3" t="s">
        <v>34</v>
      </c>
      <c r="AB53" s="3">
        <v>46134.666666666664</v>
      </c>
      <c r="AC53" s="3" t="s">
        <v>239</v>
      </c>
      <c r="AD53" s="3" t="s">
        <v>35</v>
      </c>
      <c r="AE53" s="5" t="inlineStr">
        <is>
          <t>Log SP: Temp_F1_lab007.csv</t>
        </is>
      </c>
      <c r="AF53" s="5" t="inlineStr">
        <is>
          <t>SP 21 C; registro de temperatura</t>
        </is>
      </c>
      <c r="AG53" s="3"/>
      <c r="AH53" s="3"/>
      <c r="AI53" s="3"/>
      <c r="AJ53" s="3"/>
      <c r="AK53" s="3">
        <v>-0.1</v>
      </c>
      <c r="AL53" s="3">
        <v>2.88</v>
      </c>
      <c r="AM53" s="3">
        <v>0.35</v>
      </c>
      <c r="AN53" s="3">
        <v>59.45</v>
      </c>
      <c r="AO53" s="3">
        <v>21.58</v>
      </c>
      <c r="AP53" s="3">
        <v>3.42</v>
      </c>
      <c r="AQ53" s="3">
        <v>0.36</v>
      </c>
      <c r="AR53" s="3"/>
      <c r="AS53" s="3">
        <v>-0.3</v>
      </c>
      <c r="AT53" s="5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5"/>
      <c r="BO53" s="3"/>
      <c r="BP53" s="3" t="s">
        <v>245</v>
      </c>
      <c r="BQ53" s="3"/>
      <c r="BR53" s="3"/>
      <c r="BS53" s="3"/>
      <c r="BT53" s="3"/>
      <c r="BU53" s="3"/>
      <c r="BV53" s="3" t="s">
        <v>141</v>
      </c>
      <c r="BW53" s="3"/>
      <c r="BX53" s="3"/>
      <c r="BY53" s="3"/>
    </row>
    <row r="54" spans="1:77">
      <c r="A54" s="3" t="s">
        <v>258</v>
      </c>
      <c r="B54" s="4">
        <v>46135.666666666664</v>
      </c>
      <c r="C54" s="5">
        <v>144</v>
      </c>
      <c r="D54" s="5" t="n">
        <v>21.0</v>
      </c>
      <c r="E54" s="5">
        <v>995.4</v>
      </c>
      <c r="F54" s="5">
        <v>59.91</v>
      </c>
      <c r="G54" s="5">
        <v>0.10299999999999976</v>
      </c>
      <c r="H54" s="5">
        <v>0</v>
      </c>
      <c r="I54" s="5">
        <v>0.03</v>
      </c>
      <c r="J54" s="5">
        <v>27</v>
      </c>
      <c r="K54" s="5">
        <v>0</v>
      </c>
      <c r="L54" s="5">
        <v>27</v>
      </c>
      <c r="M54" s="5">
        <v>6.06</v>
      </c>
      <c r="N54" s="5">
        <v>3</v>
      </c>
      <c r="O54" s="3"/>
      <c r="P54" s="5">
        <v>76</v>
      </c>
      <c r="Q54" s="5">
        <v>10.44</v>
      </c>
      <c r="R54" s="3"/>
      <c r="S54" s="3"/>
      <c r="T54" s="3"/>
      <c r="U54" s="3"/>
      <c r="V54" s="3"/>
      <c r="W54" s="3"/>
      <c r="X54" s="3"/>
      <c r="Y54" s="3"/>
      <c r="Z54" s="3"/>
      <c r="AA54" s="3" t="s">
        <v>34</v>
      </c>
      <c r="AB54" s="3">
        <v>46135.666666666664</v>
      </c>
      <c r="AC54" s="3" t="s">
        <v>239</v>
      </c>
      <c r="AD54" s="3" t="s">
        <v>35</v>
      </c>
      <c r="AE54" s="5" t="inlineStr">
        <is>
          <t>Log SP: Temp_F1_lab007.csv</t>
        </is>
      </c>
      <c r="AF54" s="5" t="inlineStr">
        <is>
          <t>SP 21 C; registro de temperatura</t>
        </is>
      </c>
      <c r="AG54" s="3"/>
      <c r="AH54" s="3"/>
      <c r="AI54" s="3"/>
      <c r="AJ54" s="3"/>
      <c r="AK54" s="3">
        <v>-0.6</v>
      </c>
      <c r="AL54" s="3">
        <v>2.9</v>
      </c>
      <c r="AM54" s="3">
        <v>1.07</v>
      </c>
      <c r="AN54" s="3">
        <v>60.83</v>
      </c>
      <c r="AO54" s="3">
        <v>21.46</v>
      </c>
      <c r="AP54" s="3">
        <v>0.03</v>
      </c>
      <c r="AQ54" s="3">
        <v>0.39</v>
      </c>
      <c r="AR54" s="3">
        <v>10.74</v>
      </c>
      <c r="AS54" s="3">
        <v>10.44</v>
      </c>
      <c r="AT54" s="5" t="s">
        <v>125</v>
      </c>
      <c r="AU54" s="3"/>
      <c r="AV54" s="3"/>
      <c r="AW54" s="3"/>
      <c r="AX54" s="3"/>
      <c r="AY54" s="3"/>
      <c r="AZ54" s="3"/>
      <c r="BA54" s="3">
        <v>5.5419999999999998</v>
      </c>
      <c r="BB54" s="3">
        <v>5.6449999999999996</v>
      </c>
      <c r="BC54" s="3" t="s">
        <v>250</v>
      </c>
      <c r="BD54" s="3" t="s">
        <v>243</v>
      </c>
      <c r="BE54" s="3" t="s">
        <v>244</v>
      </c>
      <c r="BF54" s="3"/>
      <c r="BG54" s="3"/>
      <c r="BH54" s="3">
        <v>10</v>
      </c>
      <c r="BI54" s="3">
        <v>0</v>
      </c>
      <c r="BJ54" s="3">
        <v>10.44</v>
      </c>
      <c r="BK54" s="3">
        <v>12.5</v>
      </c>
      <c r="BL54" s="3">
        <v>230.01339883876739</v>
      </c>
      <c r="BM54" s="3">
        <v>9769.9866011612321</v>
      </c>
      <c r="BN54" s="5"/>
      <c r="BO54" s="3"/>
      <c r="BP54" s="3" t="s">
        <v>245</v>
      </c>
      <c r="BQ54" s="3"/>
      <c r="BR54" s="3"/>
      <c r="BS54" s="3"/>
      <c r="BT54" s="3"/>
      <c r="BU54" s="3"/>
      <c r="BV54" s="3" t="s">
        <v>141</v>
      </c>
      <c r="BW54" s="3"/>
      <c r="BX54" s="3"/>
      <c r="BY54" s="3"/>
    </row>
    <row r="55" spans="1:77">
      <c r="A55" s="3" t="s">
        <v>259</v>
      </c>
      <c r="B55" s="4">
        <v>46136.333333333336</v>
      </c>
      <c r="C55" s="5">
        <v>160</v>
      </c>
      <c r="D55" s="5" t="n">
        <v>21.0</v>
      </c>
      <c r="E55" s="5">
        <v>995.6</v>
      </c>
      <c r="F55" s="5"/>
      <c r="G55" s="5">
        <v>9.220000000000006E-2</v>
      </c>
      <c r="H55" s="5">
        <v>0</v>
      </c>
      <c r="I55" s="5">
        <v>0.01</v>
      </c>
      <c r="J55" s="5">
        <v>16</v>
      </c>
      <c r="K55" s="5">
        <v>0</v>
      </c>
      <c r="L55" s="5">
        <v>16</v>
      </c>
      <c r="M55" s="5">
        <v>5.85</v>
      </c>
      <c r="N55" s="5">
        <v>12</v>
      </c>
      <c r="O55" s="3"/>
      <c r="P55" s="5">
        <v>78</v>
      </c>
      <c r="Q55" s="5">
        <v>10.299999999999999</v>
      </c>
      <c r="R55" s="3"/>
      <c r="S55" s="3"/>
      <c r="T55" s="3"/>
      <c r="U55" s="3"/>
      <c r="V55" s="3"/>
      <c r="W55" s="3"/>
      <c r="X55" s="3"/>
      <c r="Y55" s="3"/>
      <c r="Z55" s="3"/>
      <c r="AA55" s="3" t="s">
        <v>34</v>
      </c>
      <c r="AB55" s="3">
        <v>46136.333333333336</v>
      </c>
      <c r="AC55" s="3" t="s">
        <v>239</v>
      </c>
      <c r="AD55" s="3" t="s">
        <v>35</v>
      </c>
      <c r="AE55" s="5" t="inlineStr">
        <is>
          <t>Log SP: Temp_F1_lab007.csv</t>
        </is>
      </c>
      <c r="AF55" s="5" t="inlineStr">
        <is>
          <t>SP 21 C; registro de temperatura</t>
        </is>
      </c>
      <c r="AG55" s="3"/>
      <c r="AH55" s="3"/>
      <c r="AI55" s="3"/>
      <c r="AJ55" s="3"/>
      <c r="AK55" s="3">
        <v>-0.6</v>
      </c>
      <c r="AL55" s="3">
        <v>2.88</v>
      </c>
      <c r="AM55" s="3">
        <v>1.31</v>
      </c>
      <c r="AN55" s="3"/>
      <c r="AO55" s="3"/>
      <c r="AP55" s="3">
        <v>0.01</v>
      </c>
      <c r="AQ55" s="3">
        <v>0.33</v>
      </c>
      <c r="AR55" s="3">
        <v>10.6</v>
      </c>
      <c r="AS55" s="3">
        <v>10.299999999999999</v>
      </c>
      <c r="AT55" s="5" t="s">
        <v>125</v>
      </c>
      <c r="AU55" s="3"/>
      <c r="AV55" s="3"/>
      <c r="AW55" s="3"/>
      <c r="AX55" s="3"/>
      <c r="AY55" s="3"/>
      <c r="AZ55" s="3"/>
      <c r="BA55" s="3">
        <v>5.5968</v>
      </c>
      <c r="BB55" s="3">
        <v>5.6890000000000001</v>
      </c>
      <c r="BC55" s="3" t="s">
        <v>131</v>
      </c>
      <c r="BD55" s="3" t="s">
        <v>243</v>
      </c>
      <c r="BE55" s="3"/>
      <c r="BF55" s="3"/>
      <c r="BG55" s="3"/>
      <c r="BH55" s="3">
        <v>10</v>
      </c>
      <c r="BI55" s="3">
        <v>0</v>
      </c>
      <c r="BJ55" s="3">
        <v>10.299999999999999</v>
      </c>
      <c r="BK55" s="3">
        <v>12.5</v>
      </c>
      <c r="BL55" s="3">
        <v>245.26198439241932</v>
      </c>
      <c r="BM55" s="3">
        <v>9754.7380156075815</v>
      </c>
      <c r="BN55" s="5"/>
      <c r="BO55" s="3"/>
      <c r="BP55" s="3" t="s">
        <v>245</v>
      </c>
      <c r="BQ55" s="3"/>
      <c r="BR55" s="3"/>
      <c r="BS55" s="3"/>
      <c r="BT55" s="3"/>
      <c r="BU55" s="3"/>
      <c r="BV55" s="3" t="s">
        <v>141</v>
      </c>
      <c r="BW55" s="3"/>
      <c r="BX55" s="3"/>
      <c r="BY55" s="3"/>
    </row>
    <row r="56" spans="1:77">
      <c r="A56" s="3" t="s">
        <v>260</v>
      </c>
      <c r="B56" s="4">
        <v>46129.666666666664</v>
      </c>
      <c r="C56" s="5">
        <v>0</v>
      </c>
      <c r="D56" s="5">
        <v>18</v>
      </c>
      <c r="E56" s="5"/>
      <c r="F56" s="5">
        <v>8.4499999999999993</v>
      </c>
      <c r="G56" s="5">
        <v>5.7000000000000384E-2</v>
      </c>
      <c r="H56" s="5">
        <v>76.209999999999994</v>
      </c>
      <c r="I56" s="5">
        <v>74.89</v>
      </c>
      <c r="J56" s="5">
        <v>99</v>
      </c>
      <c r="K56" s="5">
        <v>171</v>
      </c>
      <c r="L56" s="5">
        <v>239.22</v>
      </c>
      <c r="M56" s="5">
        <v>0.85</v>
      </c>
      <c r="N56" s="5">
        <v>4</v>
      </c>
      <c r="O56" s="3"/>
      <c r="P56" s="5">
        <v>0</v>
      </c>
      <c r="Q56" s="5">
        <v>1.17</v>
      </c>
      <c r="R56" s="3" t="s">
        <v>119</v>
      </c>
      <c r="S56" s="3"/>
      <c r="T56" s="3"/>
      <c r="U56" s="3"/>
      <c r="V56" s="3"/>
      <c r="W56" s="3"/>
      <c r="X56" s="3"/>
      <c r="Y56" s="3"/>
      <c r="Z56" s="3"/>
      <c r="AA56" s="3" t="s">
        <v>38</v>
      </c>
      <c r="AB56" s="3">
        <v>46129.666666666664</v>
      </c>
      <c r="AC56" s="3" t="s">
        <v>239</v>
      </c>
      <c r="AD56" s="3" t="s">
        <v>35</v>
      </c>
      <c r="AE56" s="5" t="s">
        <v>240</v>
      </c>
      <c r="AF56" s="5" t="s">
        <v>122</v>
      </c>
      <c r="AG56" s="3" t="s">
        <v>30</v>
      </c>
      <c r="AH56" s="3" t="s">
        <v>261</v>
      </c>
      <c r="AI56" s="3">
        <v>0</v>
      </c>
      <c r="AJ56" s="3" t="s">
        <v>124</v>
      </c>
      <c r="AK56" s="3"/>
      <c r="AL56" s="3">
        <v>3.05</v>
      </c>
      <c r="AM56" s="3">
        <v>1.1599999999999999</v>
      </c>
      <c r="AN56" s="3">
        <v>8.56</v>
      </c>
      <c r="AO56" s="3">
        <v>22.42</v>
      </c>
      <c r="AP56" s="3">
        <v>151.1</v>
      </c>
      <c r="AQ56" s="3">
        <v>0.09</v>
      </c>
      <c r="AR56" s="3">
        <v>1.47</v>
      </c>
      <c r="AS56" s="3">
        <v>1.17</v>
      </c>
      <c r="AT56" s="5" t="s">
        <v>125</v>
      </c>
      <c r="AU56" s="3"/>
      <c r="AV56" s="3"/>
      <c r="AW56" s="3"/>
      <c r="AX56" s="3"/>
      <c r="AY56" s="3"/>
      <c r="AZ56" s="3"/>
      <c r="BA56" s="3">
        <v>5.64</v>
      </c>
      <c r="BB56" s="3">
        <v>5.6970000000000001</v>
      </c>
      <c r="BC56" s="3" t="s">
        <v>131</v>
      </c>
      <c r="BD56" s="3" t="s">
        <v>243</v>
      </c>
      <c r="BE56" s="3" t="s">
        <v>244</v>
      </c>
      <c r="BF56" s="3"/>
      <c r="BG56" s="3"/>
      <c r="BH56" s="3">
        <v>10</v>
      </c>
      <c r="BI56" s="3">
        <v>0</v>
      </c>
      <c r="BJ56" s="3">
        <v>1.17</v>
      </c>
      <c r="BK56" s="3">
        <v>12.5</v>
      </c>
      <c r="BL56" s="3">
        <v>1146.4130324800162</v>
      </c>
      <c r="BM56" s="3">
        <v>8853.5869675199829</v>
      </c>
      <c r="BN56" s="5"/>
      <c r="BO56" s="3"/>
      <c r="BP56" s="3" t="s">
        <v>245</v>
      </c>
      <c r="BQ56" s="3"/>
      <c r="BR56" s="3"/>
      <c r="BS56" s="3"/>
      <c r="BT56" s="3"/>
      <c r="BU56" s="3"/>
      <c r="BV56" s="3" t="s">
        <v>141</v>
      </c>
      <c r="BW56" s="3"/>
      <c r="BX56" s="3"/>
      <c r="BY56" s="3"/>
    </row>
    <row r="57" spans="1:77">
      <c r="A57" s="3" t="s">
        <v>262</v>
      </c>
      <c r="B57" s="4">
        <v>46130.333333333336</v>
      </c>
      <c r="C57" s="5">
        <v>16</v>
      </c>
      <c r="D57" s="5">
        <v>18</v>
      </c>
      <c r="E57" s="5">
        <v>1063.7</v>
      </c>
      <c r="F57" s="5">
        <v>22.31</v>
      </c>
      <c r="G57" s="5"/>
      <c r="H57" s="5">
        <v>69.44</v>
      </c>
      <c r="I57" s="5">
        <v>71.930000000000007</v>
      </c>
      <c r="J57" s="5">
        <v>71</v>
      </c>
      <c r="K57" s="5">
        <v>139</v>
      </c>
      <c r="L57" s="5">
        <v>184.98</v>
      </c>
      <c r="M57" s="5">
        <v>1.51</v>
      </c>
      <c r="N57" s="5">
        <v>20</v>
      </c>
      <c r="O57" s="3"/>
      <c r="P57" s="5">
        <v>94</v>
      </c>
      <c r="Q57" s="5">
        <v>-0.3</v>
      </c>
      <c r="R57" s="3"/>
      <c r="S57" s="3"/>
      <c r="T57" s="3"/>
      <c r="U57" s="3"/>
      <c r="V57" s="3"/>
      <c r="W57" s="3"/>
      <c r="X57" s="3"/>
      <c r="Y57" s="3"/>
      <c r="Z57" s="3"/>
      <c r="AA57" s="3" t="s">
        <v>38</v>
      </c>
      <c r="AB57" s="3">
        <v>46130.333333333336</v>
      </c>
      <c r="AC57" s="3" t="s">
        <v>239</v>
      </c>
      <c r="AD57" s="3" t="s">
        <v>35</v>
      </c>
      <c r="AE57" s="5" t="s">
        <v>240</v>
      </c>
      <c r="AF57" s="5" t="s">
        <v>122</v>
      </c>
      <c r="AG57" s="3" t="s">
        <v>30</v>
      </c>
      <c r="AH57" s="3"/>
      <c r="AI57" s="3"/>
      <c r="AJ57" s="3"/>
      <c r="AK57" s="3">
        <v>16</v>
      </c>
      <c r="AL57" s="3">
        <v>3.02</v>
      </c>
      <c r="AM57" s="3">
        <v>1.37</v>
      </c>
      <c r="AN57" s="3">
        <v>22.39</v>
      </c>
      <c r="AO57" s="3">
        <v>42.37</v>
      </c>
      <c r="AP57" s="3">
        <v>141.37</v>
      </c>
      <c r="AQ57" s="3">
        <v>0.17</v>
      </c>
      <c r="AR57" s="3"/>
      <c r="AS57" s="3">
        <v>-0.3</v>
      </c>
      <c r="AT57" s="5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5"/>
      <c r="BO57" s="3"/>
      <c r="BP57" s="3" t="s">
        <v>245</v>
      </c>
      <c r="BQ57" s="3"/>
      <c r="BR57" s="3"/>
      <c r="BS57" s="3"/>
      <c r="BT57" s="3"/>
      <c r="BU57" s="3"/>
      <c r="BV57" s="3" t="s">
        <v>141</v>
      </c>
      <c r="BW57" s="3"/>
      <c r="BX57" s="3"/>
      <c r="BY57" s="3"/>
    </row>
    <row r="58" spans="1:77">
      <c r="A58" s="3" t="s">
        <v>263</v>
      </c>
      <c r="B58" s="4">
        <v>46130.666666666664</v>
      </c>
      <c r="C58" s="5">
        <v>24</v>
      </c>
      <c r="D58" s="5">
        <v>18</v>
      </c>
      <c r="E58" s="5">
        <v>1062.3</v>
      </c>
      <c r="F58" s="5">
        <v>24.92</v>
      </c>
      <c r="G58" s="5"/>
      <c r="H58" s="5">
        <v>70.84</v>
      </c>
      <c r="I58" s="5">
        <v>74.78</v>
      </c>
      <c r="J58" s="5">
        <v>69</v>
      </c>
      <c r="K58" s="5">
        <v>134</v>
      </c>
      <c r="L58" s="5">
        <v>178.88</v>
      </c>
      <c r="M58" s="5">
        <v>1.42</v>
      </c>
      <c r="N58" s="5">
        <v>21</v>
      </c>
      <c r="O58" s="3"/>
      <c r="P58" s="5">
        <v>97</v>
      </c>
      <c r="Q58" s="5">
        <v>2.64</v>
      </c>
      <c r="R58" s="3"/>
      <c r="S58" s="3"/>
      <c r="T58" s="3"/>
      <c r="U58" s="3"/>
      <c r="V58" s="3"/>
      <c r="W58" s="3"/>
      <c r="X58" s="3"/>
      <c r="Y58" s="3"/>
      <c r="Z58" s="3"/>
      <c r="AA58" s="3" t="s">
        <v>38</v>
      </c>
      <c r="AB58" s="3">
        <v>46130.666666666664</v>
      </c>
      <c r="AC58" s="3" t="s">
        <v>239</v>
      </c>
      <c r="AD58" s="3" t="s">
        <v>35</v>
      </c>
      <c r="AE58" s="5" t="s">
        <v>240</v>
      </c>
      <c r="AF58" s="5" t="s">
        <v>122</v>
      </c>
      <c r="AG58" s="3" t="s">
        <v>30</v>
      </c>
      <c r="AH58" s="3"/>
      <c r="AI58" s="3"/>
      <c r="AJ58" s="3"/>
      <c r="AK58" s="3">
        <v>15.7</v>
      </c>
      <c r="AL58" s="3">
        <v>3.01</v>
      </c>
      <c r="AM58" s="3">
        <v>1.2</v>
      </c>
      <c r="AN58" s="3">
        <v>24.92</v>
      </c>
      <c r="AO58" s="3">
        <v>40.22</v>
      </c>
      <c r="AP58" s="3">
        <v>145.62</v>
      </c>
      <c r="AQ58" s="3">
        <v>0.16</v>
      </c>
      <c r="AR58" s="3">
        <v>2.94</v>
      </c>
      <c r="AS58" s="3">
        <v>2.64</v>
      </c>
      <c r="AT58" s="5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5"/>
      <c r="BO58" s="3"/>
      <c r="BP58" s="3" t="s">
        <v>245</v>
      </c>
      <c r="BQ58" s="3"/>
      <c r="BR58" s="3"/>
      <c r="BS58" s="3"/>
      <c r="BT58" s="3"/>
      <c r="BU58" s="3"/>
      <c r="BV58" s="3" t="s">
        <v>141</v>
      </c>
      <c r="BW58" s="3"/>
      <c r="BX58" s="3"/>
      <c r="BY58" s="3"/>
    </row>
    <row r="59" spans="1:77">
      <c r="A59" s="3" t="s">
        <v>264</v>
      </c>
      <c r="B59" s="4">
        <v>46131.333333333336</v>
      </c>
      <c r="C59" s="5">
        <v>40</v>
      </c>
      <c r="D59" s="5">
        <v>18</v>
      </c>
      <c r="E59" s="5">
        <v>1051.2</v>
      </c>
      <c r="F59" s="5">
        <v>41.94</v>
      </c>
      <c r="G59" s="5"/>
      <c r="H59" s="5">
        <v>57.24</v>
      </c>
      <c r="I59" s="5">
        <v>62.199999999999996</v>
      </c>
      <c r="J59" s="5">
        <v>36</v>
      </c>
      <c r="K59" s="5">
        <v>34</v>
      </c>
      <c r="L59" s="5">
        <v>63.879999999999995</v>
      </c>
      <c r="M59" s="5">
        <v>3.23</v>
      </c>
      <c r="N59" s="5">
        <v>41</v>
      </c>
      <c r="O59" s="3"/>
      <c r="P59" s="5">
        <v>108</v>
      </c>
      <c r="Q59" s="5">
        <v>-0.3</v>
      </c>
      <c r="R59" s="3"/>
      <c r="S59" s="3"/>
      <c r="T59" s="3"/>
      <c r="U59" s="3"/>
      <c r="V59" s="3"/>
      <c r="W59" s="3"/>
      <c r="X59" s="3"/>
      <c r="Y59" s="3"/>
      <c r="Z59" s="3"/>
      <c r="AA59" s="3" t="s">
        <v>38</v>
      </c>
      <c r="AB59" s="3">
        <v>46131.333333333336</v>
      </c>
      <c r="AC59" s="3" t="s">
        <v>239</v>
      </c>
      <c r="AD59" s="3" t="s">
        <v>35</v>
      </c>
      <c r="AE59" s="5" t="s">
        <v>240</v>
      </c>
      <c r="AF59" s="5" t="s">
        <v>122</v>
      </c>
      <c r="AG59" s="3" t="s">
        <v>30</v>
      </c>
      <c r="AH59" s="3"/>
      <c r="AI59" s="3"/>
      <c r="AJ59" s="3"/>
      <c r="AK59" s="3">
        <v>13.1</v>
      </c>
      <c r="AL59" s="3">
        <v>2.85</v>
      </c>
      <c r="AM59" s="3">
        <v>1.22</v>
      </c>
      <c r="AN59" s="3">
        <v>42.13</v>
      </c>
      <c r="AO59" s="3">
        <v>24.25</v>
      </c>
      <c r="AP59" s="3">
        <v>119.44</v>
      </c>
      <c r="AQ59" s="3">
        <v>0.23</v>
      </c>
      <c r="AR59" s="3"/>
      <c r="AS59" s="3">
        <v>-0.3</v>
      </c>
      <c r="AT59" s="5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5"/>
      <c r="BO59" s="3"/>
      <c r="BP59" s="3" t="s">
        <v>245</v>
      </c>
      <c r="BQ59" s="3"/>
      <c r="BR59" s="3"/>
      <c r="BS59" s="3"/>
      <c r="BT59" s="3"/>
      <c r="BU59" s="3"/>
      <c r="BV59" s="3" t="s">
        <v>141</v>
      </c>
      <c r="BW59" s="3"/>
      <c r="BX59" s="3"/>
      <c r="BY59" s="3"/>
    </row>
    <row r="60" spans="1:77">
      <c r="A60" s="3" t="s">
        <v>265</v>
      </c>
      <c r="B60" s="4">
        <v>46131.666666666664</v>
      </c>
      <c r="C60" s="5">
        <v>48</v>
      </c>
      <c r="D60" s="5">
        <v>18</v>
      </c>
      <c r="E60" s="5">
        <v>1047</v>
      </c>
      <c r="F60" s="5">
        <v>49.31</v>
      </c>
      <c r="G60" s="5">
        <v>8.3999999999999631E-2</v>
      </c>
      <c r="H60" s="5">
        <v>50.13</v>
      </c>
      <c r="I60" s="5">
        <v>55.37</v>
      </c>
      <c r="J60" s="5">
        <v>33</v>
      </c>
      <c r="K60" s="5">
        <v>5</v>
      </c>
      <c r="L60" s="5">
        <v>37.1</v>
      </c>
      <c r="M60" s="5">
        <v>3.3</v>
      </c>
      <c r="N60" s="5">
        <v>41</v>
      </c>
      <c r="O60" s="3"/>
      <c r="P60" s="5">
        <v>127</v>
      </c>
      <c r="Q60" s="5">
        <v>3.8100000000000005</v>
      </c>
      <c r="R60" s="3"/>
      <c r="S60" s="3"/>
      <c r="T60" s="3"/>
      <c r="U60" s="3"/>
      <c r="V60" s="3"/>
      <c r="W60" s="3"/>
      <c r="X60" s="3"/>
      <c r="Y60" s="3"/>
      <c r="Z60" s="3"/>
      <c r="AA60" s="3" t="s">
        <v>38</v>
      </c>
      <c r="AB60" s="3">
        <v>46131.666666666664</v>
      </c>
      <c r="AC60" s="3" t="s">
        <v>239</v>
      </c>
      <c r="AD60" s="3" t="s">
        <v>35</v>
      </c>
      <c r="AE60" s="5" t="s">
        <v>240</v>
      </c>
      <c r="AF60" s="5" t="s">
        <v>122</v>
      </c>
      <c r="AG60" s="3" t="s">
        <v>30</v>
      </c>
      <c r="AH60" s="3"/>
      <c r="AI60" s="3"/>
      <c r="AJ60" s="3"/>
      <c r="AK60" s="3">
        <v>12.1</v>
      </c>
      <c r="AL60" s="3">
        <v>2.8</v>
      </c>
      <c r="AM60" s="3">
        <v>0.74</v>
      </c>
      <c r="AN60" s="3">
        <v>49.39</v>
      </c>
      <c r="AO60" s="3">
        <v>23.09</v>
      </c>
      <c r="AP60" s="3">
        <v>105.5</v>
      </c>
      <c r="AQ60" s="3">
        <v>0.19</v>
      </c>
      <c r="AR60" s="3">
        <v>4.1100000000000003</v>
      </c>
      <c r="AS60" s="3">
        <v>3.8100000000000005</v>
      </c>
      <c r="AT60" s="5" t="s">
        <v>125</v>
      </c>
      <c r="AU60" s="3"/>
      <c r="AV60" s="3"/>
      <c r="AW60" s="3"/>
      <c r="AX60" s="3"/>
      <c r="AY60" s="3"/>
      <c r="AZ60" s="3"/>
      <c r="BA60" s="3">
        <v>5.53</v>
      </c>
      <c r="BB60" s="3">
        <v>5.6139999999999999</v>
      </c>
      <c r="BC60" s="3" t="s">
        <v>250</v>
      </c>
      <c r="BD60" s="3" t="s">
        <v>243</v>
      </c>
      <c r="BE60" s="3" t="s">
        <v>244</v>
      </c>
      <c r="BF60" s="3"/>
      <c r="BG60" s="3"/>
      <c r="BH60" s="3">
        <v>10</v>
      </c>
      <c r="BI60" s="3">
        <v>0</v>
      </c>
      <c r="BJ60" s="3">
        <v>3.8100000000000005</v>
      </c>
      <c r="BK60" s="3">
        <v>12.5</v>
      </c>
      <c r="BL60" s="3">
        <v>903.42031396195023</v>
      </c>
      <c r="BM60" s="3">
        <v>9096.5796860380506</v>
      </c>
      <c r="BN60" s="5"/>
      <c r="BO60" s="3"/>
      <c r="BP60" s="3" t="s">
        <v>245</v>
      </c>
      <c r="BQ60" s="3"/>
      <c r="BR60" s="3"/>
      <c r="BS60" s="3"/>
      <c r="BT60" s="3"/>
      <c r="BU60" s="3"/>
      <c r="BV60" s="3" t="s">
        <v>141</v>
      </c>
      <c r="BW60" s="3"/>
      <c r="BX60" s="3"/>
      <c r="BY60" s="3"/>
    </row>
    <row r="61" spans="1:77">
      <c r="A61" s="3" t="s">
        <v>266</v>
      </c>
      <c r="B61" s="4">
        <v>46132.333333333336</v>
      </c>
      <c r="C61" s="5">
        <v>64</v>
      </c>
      <c r="D61" s="5">
        <v>18</v>
      </c>
      <c r="E61" s="5">
        <v>1034.2</v>
      </c>
      <c r="F61" s="5">
        <v>62.37</v>
      </c>
      <c r="G61" s="5"/>
      <c r="H61" s="5">
        <v>29.88</v>
      </c>
      <c r="I61" s="5">
        <v>51.320000000000007</v>
      </c>
      <c r="J61" s="5">
        <v>11</v>
      </c>
      <c r="K61" s="5">
        <v>0</v>
      </c>
      <c r="L61" s="5">
        <v>11</v>
      </c>
      <c r="M61" s="5">
        <v>4.16</v>
      </c>
      <c r="N61" s="5">
        <v>37</v>
      </c>
      <c r="O61" s="3"/>
      <c r="P61" s="5">
        <v>102</v>
      </c>
      <c r="Q61" s="5">
        <v>-0.3</v>
      </c>
      <c r="R61" s="3"/>
      <c r="S61" s="3"/>
      <c r="T61" s="3"/>
      <c r="U61" s="3"/>
      <c r="V61" s="3"/>
      <c r="W61" s="3"/>
      <c r="X61" s="3"/>
      <c r="Y61" s="3"/>
      <c r="Z61" s="3"/>
      <c r="AA61" s="3" t="s">
        <v>38</v>
      </c>
      <c r="AB61" s="3">
        <v>46132.333333333336</v>
      </c>
      <c r="AC61" s="3" t="s">
        <v>239</v>
      </c>
      <c r="AD61" s="3" t="s">
        <v>35</v>
      </c>
      <c r="AE61" s="5" t="s">
        <v>240</v>
      </c>
      <c r="AF61" s="5" t="s">
        <v>122</v>
      </c>
      <c r="AG61" s="3" t="s">
        <v>30</v>
      </c>
      <c r="AH61" s="3"/>
      <c r="AI61" s="3"/>
      <c r="AJ61" s="3"/>
      <c r="AK61" s="3">
        <v>9</v>
      </c>
      <c r="AL61" s="3">
        <v>2.79</v>
      </c>
      <c r="AM61" s="3">
        <v>0.76</v>
      </c>
      <c r="AN61" s="3">
        <v>62.52</v>
      </c>
      <c r="AO61" s="3">
        <v>22.48</v>
      </c>
      <c r="AP61" s="3">
        <v>81.2</v>
      </c>
      <c r="AQ61" s="3">
        <v>0.36</v>
      </c>
      <c r="AR61" s="3"/>
      <c r="AS61" s="3">
        <v>-0.3</v>
      </c>
      <c r="AT61" s="5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5"/>
      <c r="BO61" s="3"/>
      <c r="BP61" s="3" t="s">
        <v>245</v>
      </c>
      <c r="BQ61" s="3"/>
      <c r="BR61" s="3"/>
      <c r="BS61" s="3"/>
      <c r="BT61" s="3"/>
      <c r="BU61" s="3"/>
      <c r="BV61" s="3" t="s">
        <v>141</v>
      </c>
      <c r="BW61" s="3"/>
      <c r="BX61" s="3"/>
      <c r="BY61" s="3"/>
    </row>
    <row r="62" spans="1:77">
      <c r="A62" s="3" t="s">
        <v>267</v>
      </c>
      <c r="B62" s="4">
        <v>46132.666666666664</v>
      </c>
      <c r="C62" s="5">
        <v>72</v>
      </c>
      <c r="D62" s="5">
        <v>18</v>
      </c>
      <c r="E62" s="5">
        <v>1026.8</v>
      </c>
      <c r="F62" s="5">
        <v>51.69</v>
      </c>
      <c r="G62" s="5"/>
      <c r="H62" s="5">
        <v>23.94</v>
      </c>
      <c r="I62" s="5">
        <v>45.39</v>
      </c>
      <c r="J62" s="5">
        <v>24</v>
      </c>
      <c r="K62" s="5">
        <v>29</v>
      </c>
      <c r="L62" s="5">
        <v>47.78</v>
      </c>
      <c r="M62" s="5">
        <v>3.53</v>
      </c>
      <c r="N62" s="5">
        <v>42</v>
      </c>
      <c r="O62" s="3"/>
      <c r="P62" s="5">
        <v>118</v>
      </c>
      <c r="Q62" s="5">
        <v>-0.3</v>
      </c>
      <c r="R62" s="3"/>
      <c r="S62" s="3"/>
      <c r="T62" s="3"/>
      <c r="U62" s="3"/>
      <c r="V62" s="3"/>
      <c r="W62" s="3"/>
      <c r="X62" s="3"/>
      <c r="Y62" s="3"/>
      <c r="Z62" s="3"/>
      <c r="AA62" s="3" t="s">
        <v>38</v>
      </c>
      <c r="AB62" s="3">
        <v>46132.666666666664</v>
      </c>
      <c r="AC62" s="3" t="s">
        <v>239</v>
      </c>
      <c r="AD62" s="3" t="s">
        <v>35</v>
      </c>
      <c r="AE62" s="5" t="s">
        <v>240</v>
      </c>
      <c r="AF62" s="5" t="s">
        <v>122</v>
      </c>
      <c r="AG62" s="3" t="s">
        <v>30</v>
      </c>
      <c r="AH62" s="3"/>
      <c r="AI62" s="3"/>
      <c r="AJ62" s="3"/>
      <c r="AK62" s="3">
        <v>7.3</v>
      </c>
      <c r="AL62" s="3">
        <v>2.85</v>
      </c>
      <c r="AM62" s="3">
        <v>0.31</v>
      </c>
      <c r="AN62" s="3">
        <v>51.92</v>
      </c>
      <c r="AO62" s="3">
        <v>27.81</v>
      </c>
      <c r="AP62" s="3">
        <v>69.33</v>
      </c>
      <c r="AQ62" s="3">
        <v>0.31</v>
      </c>
      <c r="AR62" s="3"/>
      <c r="AS62" s="3">
        <v>-0.3</v>
      </c>
      <c r="AT62" s="5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5"/>
      <c r="BO62" s="3"/>
      <c r="BP62" s="3" t="s">
        <v>245</v>
      </c>
      <c r="BQ62" s="3"/>
      <c r="BR62" s="3"/>
      <c r="BS62" s="3"/>
      <c r="BT62" s="3"/>
      <c r="BU62" s="3"/>
      <c r="BV62" s="3" t="s">
        <v>141</v>
      </c>
      <c r="BW62" s="3"/>
      <c r="BX62" s="3"/>
      <c r="BY62" s="3"/>
    </row>
    <row r="63" spans="1:77">
      <c r="A63" s="3" t="s">
        <v>268</v>
      </c>
      <c r="B63" s="4">
        <v>46133.333333333336</v>
      </c>
      <c r="C63" s="5">
        <v>88</v>
      </c>
      <c r="D63" s="5">
        <v>18</v>
      </c>
      <c r="E63" s="5">
        <v>1014.2</v>
      </c>
      <c r="F63" s="5">
        <v>58.99</v>
      </c>
      <c r="G63" s="5">
        <v>0.12199999999999989</v>
      </c>
      <c r="H63" s="5">
        <v>11.46</v>
      </c>
      <c r="I63" s="5">
        <v>25.83</v>
      </c>
      <c r="J63" s="5">
        <v>18</v>
      </c>
      <c r="K63" s="5">
        <v>0</v>
      </c>
      <c r="L63" s="5">
        <v>18</v>
      </c>
      <c r="M63" s="5">
        <v>5.27</v>
      </c>
      <c r="N63" s="5">
        <v>37</v>
      </c>
      <c r="O63" s="3"/>
      <c r="P63" s="5">
        <v>102</v>
      </c>
      <c r="Q63" s="5">
        <v>7.87</v>
      </c>
      <c r="R63" s="3"/>
      <c r="S63" s="3"/>
      <c r="T63" s="3"/>
      <c r="U63" s="3"/>
      <c r="V63" s="3"/>
      <c r="W63" s="3"/>
      <c r="X63" s="3"/>
      <c r="Y63" s="3"/>
      <c r="Z63" s="3"/>
      <c r="AA63" s="3" t="s">
        <v>38</v>
      </c>
      <c r="AB63" s="3">
        <v>46133.333333333336</v>
      </c>
      <c r="AC63" s="3" t="s">
        <v>239</v>
      </c>
      <c r="AD63" s="3" t="s">
        <v>35</v>
      </c>
      <c r="AE63" s="5" t="s">
        <v>240</v>
      </c>
      <c r="AF63" s="5" t="s">
        <v>122</v>
      </c>
      <c r="AG63" s="3" t="s">
        <v>30</v>
      </c>
      <c r="AH63" s="3"/>
      <c r="AI63" s="3"/>
      <c r="AJ63" s="3"/>
      <c r="AK63" s="3">
        <v>4</v>
      </c>
      <c r="AL63" s="3">
        <v>2.8</v>
      </c>
      <c r="AM63" s="3">
        <v>0.47</v>
      </c>
      <c r="AN63" s="3">
        <v>59.37</v>
      </c>
      <c r="AO63" s="3">
        <v>21.86</v>
      </c>
      <c r="AP63" s="3">
        <v>37.29</v>
      </c>
      <c r="AQ63" s="3">
        <v>0.3</v>
      </c>
      <c r="AR63" s="3">
        <v>8.17</v>
      </c>
      <c r="AS63" s="3">
        <v>7.87</v>
      </c>
      <c r="AT63" s="5" t="s">
        <v>125</v>
      </c>
      <c r="AU63" s="3"/>
      <c r="AV63" s="3"/>
      <c r="AW63" s="3"/>
      <c r="AX63" s="3"/>
      <c r="AY63" s="3"/>
      <c r="AZ63" s="3"/>
      <c r="BA63" s="3">
        <v>5.61</v>
      </c>
      <c r="BB63" s="3">
        <v>5.7320000000000002</v>
      </c>
      <c r="BC63" s="3" t="s">
        <v>250</v>
      </c>
      <c r="BD63" s="3" t="s">
        <v>243</v>
      </c>
      <c r="BE63" s="3" t="s">
        <v>244</v>
      </c>
      <c r="BF63" s="3"/>
      <c r="BG63" s="3"/>
      <c r="BH63" s="3">
        <v>10</v>
      </c>
      <c r="BI63" s="3">
        <v>0</v>
      </c>
      <c r="BJ63" s="3">
        <v>7.87</v>
      </c>
      <c r="BK63" s="3">
        <v>12.5</v>
      </c>
      <c r="BL63" s="3">
        <v>502.55074351459893</v>
      </c>
      <c r="BM63" s="3">
        <v>9497.4492564854008</v>
      </c>
      <c r="BN63" s="5"/>
      <c r="BO63" s="3"/>
      <c r="BP63" s="3" t="s">
        <v>245</v>
      </c>
      <c r="BQ63" s="3"/>
      <c r="BR63" s="3"/>
      <c r="BS63" s="3"/>
      <c r="BT63" s="3"/>
      <c r="BU63" s="3"/>
      <c r="BV63" s="3" t="s">
        <v>141</v>
      </c>
      <c r="BW63" s="3"/>
      <c r="BX63" s="3"/>
      <c r="BY63" s="3"/>
    </row>
    <row r="64" spans="1:77">
      <c r="A64" s="3" t="s">
        <v>269</v>
      </c>
      <c r="B64" s="4">
        <v>46133.666666666664</v>
      </c>
      <c r="C64" s="5">
        <v>96</v>
      </c>
      <c r="D64" s="5">
        <v>21</v>
      </c>
      <c r="E64" s="5">
        <v>1009.4</v>
      </c>
      <c r="F64" s="5">
        <v>61.98</v>
      </c>
      <c r="G64" s="5"/>
      <c r="H64" s="5">
        <v>6.84</v>
      </c>
      <c r="I64" s="5">
        <v>23.66</v>
      </c>
      <c r="J64" s="5">
        <v>20</v>
      </c>
      <c r="K64" s="5">
        <v>0</v>
      </c>
      <c r="L64" s="5">
        <v>20</v>
      </c>
      <c r="M64" s="5">
        <v>5.33</v>
      </c>
      <c r="N64" s="5">
        <v>36</v>
      </c>
      <c r="O64" s="3"/>
      <c r="P64" s="5">
        <v>90</v>
      </c>
      <c r="Q64" s="5">
        <v>-0.3</v>
      </c>
      <c r="R64" s="3"/>
      <c r="S64" s="3"/>
      <c r="T64" s="3"/>
      <c r="U64" s="3"/>
      <c r="V64" s="3"/>
      <c r="W64" s="3"/>
      <c r="X64" s="3"/>
      <c r="Y64" s="3"/>
      <c r="Z64" s="3"/>
      <c r="AA64" s="3" t="s">
        <v>38</v>
      </c>
      <c r="AB64" s="3">
        <v>46133.666666666664</v>
      </c>
      <c r="AC64" s="3" t="s">
        <v>239</v>
      </c>
      <c r="AD64" s="3" t="s">
        <v>35</v>
      </c>
      <c r="AE64" s="5" t="s">
        <v>176</v>
      </c>
      <c r="AF64" s="5" t="s">
        <v>270</v>
      </c>
      <c r="AG64" s="3" t="s">
        <v>30</v>
      </c>
      <c r="AH64" s="3"/>
      <c r="AI64" s="3"/>
      <c r="AJ64" s="3"/>
      <c r="AK64" s="3">
        <v>2.9</v>
      </c>
      <c r="AL64" s="3">
        <v>2.82</v>
      </c>
      <c r="AM64" s="3">
        <v>0.35</v>
      </c>
      <c r="AN64" s="3">
        <v>62.6</v>
      </c>
      <c r="AO64" s="3">
        <v>23.93</v>
      </c>
      <c r="AP64" s="3">
        <v>30.5</v>
      </c>
      <c r="AQ64" s="3">
        <v>0.36</v>
      </c>
      <c r="AR64" s="3"/>
      <c r="AS64" s="3">
        <v>-0.3</v>
      </c>
      <c r="AT64" s="5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5"/>
      <c r="BO64" s="3"/>
      <c r="BP64" s="3" t="s">
        <v>245</v>
      </c>
      <c r="BQ64" s="3"/>
      <c r="BR64" s="3"/>
      <c r="BS64" s="3"/>
      <c r="BT64" s="3"/>
      <c r="BU64" s="3"/>
      <c r="BV64" s="3" t="s">
        <v>141</v>
      </c>
      <c r="BW64" s="3"/>
      <c r="BX64" s="3"/>
      <c r="BY64" s="3"/>
    </row>
    <row r="65" spans="1:77">
      <c r="A65" s="3" t="s">
        <v>271</v>
      </c>
      <c r="B65" s="4">
        <v>46134.333333333336</v>
      </c>
      <c r="C65" s="5">
        <v>112</v>
      </c>
      <c r="D65" s="5">
        <v>21</v>
      </c>
      <c r="E65" s="5">
        <v>999.2</v>
      </c>
      <c r="F65" s="5">
        <v>63.44</v>
      </c>
      <c r="G65" s="5"/>
      <c r="H65" s="5">
        <v>0.36</v>
      </c>
      <c r="I65" s="5">
        <v>6.05</v>
      </c>
      <c r="J65" s="5">
        <v>5</v>
      </c>
      <c r="K65" s="5">
        <v>0</v>
      </c>
      <c r="L65" s="5">
        <v>5</v>
      </c>
      <c r="M65" s="5">
        <v>5.67</v>
      </c>
      <c r="N65" s="5">
        <v>21</v>
      </c>
      <c r="O65" s="3"/>
      <c r="P65" s="5">
        <v>89</v>
      </c>
      <c r="Q65" s="5">
        <v>-0.3</v>
      </c>
      <c r="R65" s="3"/>
      <c r="S65" s="3"/>
      <c r="T65" s="3"/>
      <c r="U65" s="3"/>
      <c r="V65" s="3"/>
      <c r="W65" s="3"/>
      <c r="X65" s="3"/>
      <c r="Y65" s="3"/>
      <c r="Z65" s="3"/>
      <c r="AA65" s="3" t="s">
        <v>38</v>
      </c>
      <c r="AB65" s="3">
        <v>46134.333333333336</v>
      </c>
      <c r="AC65" s="3" t="s">
        <v>239</v>
      </c>
      <c r="AD65" s="3" t="s">
        <v>35</v>
      </c>
      <c r="AE65" s="5" t="s">
        <v>176</v>
      </c>
      <c r="AF65" s="5" t="s">
        <v>270</v>
      </c>
      <c r="AG65" s="3" t="s">
        <v>30</v>
      </c>
      <c r="AH65" s="3"/>
      <c r="AI65" s="3"/>
      <c r="AJ65" s="3"/>
      <c r="AK65" s="3">
        <v>0.3</v>
      </c>
      <c r="AL65" s="3">
        <v>2.86</v>
      </c>
      <c r="AM65" s="3">
        <v>0.34</v>
      </c>
      <c r="AN65" s="3">
        <v>63.9</v>
      </c>
      <c r="AO65" s="3">
        <v>22.96</v>
      </c>
      <c r="AP65" s="3">
        <v>6.41</v>
      </c>
      <c r="AQ65" s="3">
        <v>0.37</v>
      </c>
      <c r="AR65" s="3"/>
      <c r="AS65" s="3">
        <v>-0.3</v>
      </c>
      <c r="AT65" s="5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5"/>
      <c r="BO65" s="3"/>
      <c r="BP65" s="3" t="s">
        <v>245</v>
      </c>
      <c r="BQ65" s="3"/>
      <c r="BR65" s="3"/>
      <c r="BS65" s="3"/>
      <c r="BT65" s="3"/>
      <c r="BU65" s="3"/>
      <c r="BV65" s="3" t="s">
        <v>141</v>
      </c>
      <c r="BW65" s="3"/>
      <c r="BX65" s="3"/>
      <c r="BY65" s="3"/>
    </row>
    <row r="66" spans="1:77">
      <c r="A66" s="3" t="s">
        <v>272</v>
      </c>
      <c r="B66" s="4">
        <v>46134.666666666664</v>
      </c>
      <c r="C66" s="5">
        <v>120</v>
      </c>
      <c r="D66" s="5">
        <v>21</v>
      </c>
      <c r="E66" s="5">
        <v>997.1</v>
      </c>
      <c r="F66" s="5">
        <v>58.06</v>
      </c>
      <c r="G66" s="5"/>
      <c r="H66" s="5">
        <v>0.05</v>
      </c>
      <c r="I66" s="5">
        <v>2.8400000000000003</v>
      </c>
      <c r="J66" s="5">
        <v>6</v>
      </c>
      <c r="K66" s="5">
        <v>0</v>
      </c>
      <c r="L66" s="5">
        <v>6</v>
      </c>
      <c r="M66" s="5">
        <v>5.48</v>
      </c>
      <c r="N66" s="5">
        <v>20</v>
      </c>
      <c r="O66" s="3"/>
      <c r="P66" s="5">
        <v>87</v>
      </c>
      <c r="Q66" s="5">
        <v>-0.3</v>
      </c>
      <c r="R66" s="3"/>
      <c r="S66" s="3"/>
      <c r="T66" s="3"/>
      <c r="U66" s="3"/>
      <c r="V66" s="3"/>
      <c r="W66" s="3"/>
      <c r="X66" s="3"/>
      <c r="Y66" s="3"/>
      <c r="Z66" s="3"/>
      <c r="AA66" s="3" t="s">
        <v>38</v>
      </c>
      <c r="AB66" s="3">
        <v>46134.666666666664</v>
      </c>
      <c r="AC66" s="3" t="s">
        <v>239</v>
      </c>
      <c r="AD66" s="3" t="s">
        <v>35</v>
      </c>
      <c r="AE66" s="5" t="s">
        <v>176</v>
      </c>
      <c r="AF66" s="5" t="s">
        <v>270</v>
      </c>
      <c r="AG66" s="3" t="s">
        <v>30</v>
      </c>
      <c r="AH66" s="3"/>
      <c r="AI66" s="3"/>
      <c r="AJ66" s="3"/>
      <c r="AK66" s="3">
        <v>-0.2</v>
      </c>
      <c r="AL66" s="3">
        <v>2.86</v>
      </c>
      <c r="AM66" s="3">
        <v>0.52</v>
      </c>
      <c r="AN66" s="3">
        <v>59.06</v>
      </c>
      <c r="AO66" s="3">
        <v>23.54</v>
      </c>
      <c r="AP66" s="3">
        <v>2.89</v>
      </c>
      <c r="AQ66" s="3">
        <v>0.34</v>
      </c>
      <c r="AR66" s="3"/>
      <c r="AS66" s="3">
        <v>-0.3</v>
      </c>
      <c r="AT66" s="5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5"/>
      <c r="BO66" s="3"/>
      <c r="BP66" s="3" t="s">
        <v>245</v>
      </c>
      <c r="BQ66" s="3"/>
      <c r="BR66" s="3"/>
      <c r="BS66" s="3"/>
      <c r="BT66" s="3"/>
      <c r="BU66" s="3"/>
      <c r="BV66" s="3" t="s">
        <v>141</v>
      </c>
      <c r="BW66" s="3"/>
      <c r="BX66" s="3"/>
      <c r="BY66" s="3"/>
    </row>
    <row r="67" spans="1:77">
      <c r="A67" s="3" t="s">
        <v>273</v>
      </c>
      <c r="B67" s="4">
        <v>46135.666666666664</v>
      </c>
      <c r="C67" s="5">
        <v>144</v>
      </c>
      <c r="D67" s="5">
        <v>21</v>
      </c>
      <c r="E67" s="5">
        <v>995.4</v>
      </c>
      <c r="F67" s="5">
        <v>63.44</v>
      </c>
      <c r="G67" s="5">
        <v>0.12100000000000044</v>
      </c>
      <c r="H67" s="5">
        <v>0</v>
      </c>
      <c r="I67" s="5">
        <v>0.03</v>
      </c>
      <c r="J67" s="5">
        <v>27</v>
      </c>
      <c r="K67" s="5">
        <v>0</v>
      </c>
      <c r="L67" s="5">
        <v>27</v>
      </c>
      <c r="M67" s="5">
        <v>5.82</v>
      </c>
      <c r="N67" s="5">
        <v>6</v>
      </c>
      <c r="O67" s="3"/>
      <c r="P67" s="5">
        <v>77</v>
      </c>
      <c r="Q67" s="5">
        <v>10.44</v>
      </c>
      <c r="R67" s="3"/>
      <c r="S67" s="3"/>
      <c r="T67" s="3"/>
      <c r="U67" s="3"/>
      <c r="V67" s="3"/>
      <c r="W67" s="3"/>
      <c r="X67" s="3"/>
      <c r="Y67" s="3"/>
      <c r="Z67" s="3"/>
      <c r="AA67" s="3" t="s">
        <v>38</v>
      </c>
      <c r="AB67" s="3">
        <v>46135.666666666664</v>
      </c>
      <c r="AC67" s="3" t="s">
        <v>239</v>
      </c>
      <c r="AD67" s="3" t="s">
        <v>35</v>
      </c>
      <c r="AE67" s="5" t="s">
        <v>176</v>
      </c>
      <c r="AF67" s="5" t="s">
        <v>270</v>
      </c>
      <c r="AG67" s="3" t="s">
        <v>30</v>
      </c>
      <c r="AH67" s="3"/>
      <c r="AI67" s="3"/>
      <c r="AJ67" s="3"/>
      <c r="AK67" s="3">
        <v>-0.6</v>
      </c>
      <c r="AL67" s="3">
        <v>2.89</v>
      </c>
      <c r="AM67" s="3">
        <v>1.9</v>
      </c>
      <c r="AN67" s="3">
        <v>64.44</v>
      </c>
      <c r="AO67" s="3">
        <v>17.88</v>
      </c>
      <c r="AP67" s="3">
        <v>0.03</v>
      </c>
      <c r="AQ67" s="3">
        <v>0.35</v>
      </c>
      <c r="AR67" s="3">
        <v>10.74</v>
      </c>
      <c r="AS67" s="3">
        <v>10.44</v>
      </c>
      <c r="AT67" s="5" t="s">
        <v>125</v>
      </c>
      <c r="AU67" s="3"/>
      <c r="AV67" s="3"/>
      <c r="AW67" s="3"/>
      <c r="AX67" s="3"/>
      <c r="AY67" s="3"/>
      <c r="AZ67" s="3"/>
      <c r="BA67" s="3">
        <v>5.585</v>
      </c>
      <c r="BB67" s="3">
        <v>5.7060000000000004</v>
      </c>
      <c r="BC67" s="3" t="s">
        <v>250</v>
      </c>
      <c r="BD67" s="3" t="s">
        <v>243</v>
      </c>
      <c r="BE67" s="3" t="s">
        <v>244</v>
      </c>
      <c r="BF67" s="3"/>
      <c r="BG67" s="3"/>
      <c r="BH67" s="3">
        <v>10</v>
      </c>
      <c r="BI67" s="3">
        <v>0</v>
      </c>
      <c r="BJ67" s="3">
        <v>10.44</v>
      </c>
      <c r="BK67" s="3">
        <v>12.5</v>
      </c>
      <c r="BL67" s="3">
        <v>230.01339883876739</v>
      </c>
      <c r="BM67" s="3">
        <v>9769.9866011612321</v>
      </c>
      <c r="BN67" s="5"/>
      <c r="BO67" s="3"/>
      <c r="BP67" s="3" t="s">
        <v>245</v>
      </c>
      <c r="BQ67" s="3"/>
      <c r="BR67" s="3"/>
      <c r="BS67" s="3"/>
      <c r="BT67" s="3"/>
      <c r="BU67" s="3"/>
      <c r="BV67" s="3" t="s">
        <v>141</v>
      </c>
      <c r="BW67" s="3"/>
      <c r="BX67" s="3"/>
      <c r="BY67" s="3"/>
    </row>
    <row r="68" spans="1:77">
      <c r="A68" s="3" t="s">
        <v>274</v>
      </c>
      <c r="B68" s="4">
        <v>46136.333333333336</v>
      </c>
      <c r="C68" s="5">
        <v>160</v>
      </c>
      <c r="D68" s="5">
        <v>21</v>
      </c>
      <c r="E68" s="5">
        <v>994.5</v>
      </c>
      <c r="F68" s="5"/>
      <c r="G68" s="5">
        <v>0.10299999999999976</v>
      </c>
      <c r="H68" s="5">
        <v>0</v>
      </c>
      <c r="I68" s="5">
        <v>0</v>
      </c>
      <c r="J68" s="5">
        <v>15</v>
      </c>
      <c r="K68" s="5">
        <v>0</v>
      </c>
      <c r="L68" s="5">
        <v>15</v>
      </c>
      <c r="M68" s="5">
        <v>5.87</v>
      </c>
      <c r="N68" s="5">
        <v>0</v>
      </c>
      <c r="O68" s="3"/>
      <c r="P68" s="5">
        <v>80</v>
      </c>
      <c r="Q68" s="5">
        <v>10.379999999999999</v>
      </c>
      <c r="R68" s="3"/>
      <c r="S68" s="3"/>
      <c r="T68" s="3"/>
      <c r="U68" s="3"/>
      <c r="V68" s="3"/>
      <c r="W68" s="3"/>
      <c r="X68" s="3"/>
      <c r="Y68" s="3"/>
      <c r="Z68" s="3"/>
      <c r="AA68" s="3" t="s">
        <v>38</v>
      </c>
      <c r="AB68" s="3">
        <v>46136.333333333336</v>
      </c>
      <c r="AC68" s="3" t="s">
        <v>239</v>
      </c>
      <c r="AD68" s="3" t="s">
        <v>35</v>
      </c>
      <c r="AE68" s="5" t="s">
        <v>176</v>
      </c>
      <c r="AF68" s="5" t="s">
        <v>270</v>
      </c>
      <c r="AG68" s="3" t="s">
        <v>30</v>
      </c>
      <c r="AH68" s="3"/>
      <c r="AI68" s="3"/>
      <c r="AJ68" s="3"/>
      <c r="AK68" s="3">
        <v>-0.8</v>
      </c>
      <c r="AL68" s="3">
        <v>2.88</v>
      </c>
      <c r="AM68" s="3">
        <v>1.71</v>
      </c>
      <c r="AN68" s="3"/>
      <c r="AO68" s="3"/>
      <c r="AP68" s="3">
        <v>0</v>
      </c>
      <c r="AQ68" s="3">
        <v>0.32</v>
      </c>
      <c r="AR68" s="3">
        <v>10.68</v>
      </c>
      <c r="AS68" s="3">
        <v>10.379999999999999</v>
      </c>
      <c r="AT68" s="5" t="s">
        <v>125</v>
      </c>
      <c r="AU68" s="3"/>
      <c r="AV68" s="3"/>
      <c r="AW68" s="3"/>
      <c r="AX68" s="3"/>
      <c r="AY68" s="3"/>
      <c r="AZ68" s="3"/>
      <c r="BA68" s="3">
        <v>5.5890000000000004</v>
      </c>
      <c r="BB68" s="3">
        <v>5.6920000000000002</v>
      </c>
      <c r="BC68" s="3" t="s">
        <v>131</v>
      </c>
      <c r="BD68" s="3" t="s">
        <v>243</v>
      </c>
      <c r="BE68" s="3"/>
      <c r="BF68" s="3"/>
      <c r="BG68" s="3"/>
      <c r="BH68" s="3">
        <v>10</v>
      </c>
      <c r="BI68" s="3">
        <v>0</v>
      </c>
      <c r="BJ68" s="3">
        <v>10.379999999999999</v>
      </c>
      <c r="BK68" s="3">
        <v>12.5</v>
      </c>
      <c r="BL68" s="3">
        <v>236.55434054898478</v>
      </c>
      <c r="BM68" s="3">
        <v>9763.4456594510157</v>
      </c>
      <c r="BN68" s="5"/>
      <c r="BO68" s="3"/>
      <c r="BP68" s="3" t="s">
        <v>245</v>
      </c>
      <c r="BQ68" s="3"/>
      <c r="BR68" s="3"/>
      <c r="BS68" s="3"/>
      <c r="BT68" s="3"/>
      <c r="BU68" s="3"/>
      <c r="BV68" s="3" t="s">
        <v>141</v>
      </c>
      <c r="BW68" s="3"/>
      <c r="BX68" s="3"/>
      <c r="BY68" s="3"/>
    </row>
    <row r="69" spans="1:77">
      <c r="A69" s="3" t="s">
        <v>275</v>
      </c>
      <c r="B69" s="4">
        <v>46129.666666666664</v>
      </c>
      <c r="C69" s="5">
        <v>0</v>
      </c>
      <c r="D69" s="5" t="n">
        <v>21.0</v>
      </c>
      <c r="E69" s="5"/>
      <c r="F69" s="5">
        <v>12.01</v>
      </c>
      <c r="G69" s="5">
        <v>6.7000000000000171E-2</v>
      </c>
      <c r="H69" s="5">
        <v>75.75</v>
      </c>
      <c r="I69" s="5">
        <v>76.680000000000007</v>
      </c>
      <c r="J69" s="5">
        <v>98</v>
      </c>
      <c r="K69" s="5">
        <v>170</v>
      </c>
      <c r="L69" s="5">
        <v>237.4</v>
      </c>
      <c r="M69" s="5">
        <v>0.75</v>
      </c>
      <c r="N69" s="5">
        <v>0</v>
      </c>
      <c r="O69" s="3"/>
      <c r="P69" s="5">
        <v>0</v>
      </c>
      <c r="Q69" s="5">
        <v>1.23</v>
      </c>
      <c r="R69" s="3" t="s">
        <v>119</v>
      </c>
      <c r="S69" s="3"/>
      <c r="T69" s="3"/>
      <c r="U69" s="3"/>
      <c r="V69" s="3"/>
      <c r="W69" s="3"/>
      <c r="X69" s="3"/>
      <c r="Y69" s="3"/>
      <c r="Z69" s="3"/>
      <c r="AA69" s="3" t="s">
        <v>39</v>
      </c>
      <c r="AB69" s="3">
        <v>46129.666666666664</v>
      </c>
      <c r="AC69" s="3" t="s">
        <v>239</v>
      </c>
      <c r="AD69" s="3" t="s">
        <v>35</v>
      </c>
      <c r="AE69" s="5" t="inlineStr">
        <is>
          <t>Log SP: Temp_F3_lab009.csv</t>
        </is>
      </c>
      <c r="AF69" s="5" t="inlineStr">
        <is>
          <t>SP 21 C; registro de temperatura</t>
        </is>
      </c>
      <c r="AG69" s="3"/>
      <c r="AH69" s="3" t="s">
        <v>276</v>
      </c>
      <c r="AI69" s="3">
        <v>0</v>
      </c>
      <c r="AJ69" s="3" t="s">
        <v>124</v>
      </c>
      <c r="AK69" s="3"/>
      <c r="AL69" s="3">
        <v>3.07</v>
      </c>
      <c r="AM69" s="3">
        <v>1.65</v>
      </c>
      <c r="AN69" s="3">
        <v>12.04</v>
      </c>
      <c r="AO69" s="3">
        <v>15.94</v>
      </c>
      <c r="AP69" s="3">
        <v>152.43</v>
      </c>
      <c r="AQ69" s="3">
        <v>0.09</v>
      </c>
      <c r="AR69" s="3">
        <v>1.53</v>
      </c>
      <c r="AS69" s="3">
        <v>1.23</v>
      </c>
      <c r="AT69" s="5" t="s">
        <v>125</v>
      </c>
      <c r="AU69" s="3"/>
      <c r="AV69" s="3"/>
      <c r="AW69" s="3"/>
      <c r="AX69" s="3"/>
      <c r="AY69" s="3"/>
      <c r="AZ69" s="3"/>
      <c r="BA69" s="3">
        <v>5.63</v>
      </c>
      <c r="BB69" s="3">
        <v>5.6970000000000001</v>
      </c>
      <c r="BC69" s="3" t="s">
        <v>131</v>
      </c>
      <c r="BD69" s="3" t="s">
        <v>243</v>
      </c>
      <c r="BE69" s="3" t="s">
        <v>244</v>
      </c>
      <c r="BF69" s="3"/>
      <c r="BG69" s="3"/>
      <c r="BH69" s="3">
        <v>10</v>
      </c>
      <c r="BI69" s="3">
        <v>0</v>
      </c>
      <c r="BJ69" s="3">
        <v>1.23</v>
      </c>
      <c r="BK69" s="3">
        <v>12.5</v>
      </c>
      <c r="BL69" s="3">
        <v>1141.0347271438698</v>
      </c>
      <c r="BM69" s="3">
        <v>8858.9652728561305</v>
      </c>
      <c r="BN69" s="5"/>
      <c r="BO69" s="3"/>
      <c r="BP69" s="3" t="s">
        <v>245</v>
      </c>
      <c r="BQ69" s="3"/>
      <c r="BR69" s="3"/>
      <c r="BS69" s="3"/>
      <c r="BT69" s="3"/>
      <c r="BU69" s="3"/>
      <c r="BV69" s="3" t="s">
        <v>141</v>
      </c>
      <c r="BW69" s="3"/>
      <c r="BX69" s="3"/>
      <c r="BY69" s="3"/>
    </row>
    <row r="70" spans="1:77">
      <c r="A70" s="3" t="s">
        <v>277</v>
      </c>
      <c r="B70" s="4">
        <v>46130.333333333336</v>
      </c>
      <c r="C70" s="5">
        <v>16</v>
      </c>
      <c r="D70" s="5" t="n">
        <v>21.0</v>
      </c>
      <c r="E70" s="5">
        <v>1062.3</v>
      </c>
      <c r="F70" s="5">
        <v>29.22</v>
      </c>
      <c r="G70" s="5"/>
      <c r="H70" s="5">
        <v>67.56</v>
      </c>
      <c r="I70" s="5">
        <v>72.099999999999994</v>
      </c>
      <c r="J70" s="5">
        <v>67</v>
      </c>
      <c r="K70" s="5">
        <v>122</v>
      </c>
      <c r="L70" s="5">
        <v>167.04</v>
      </c>
      <c r="M70" s="5">
        <v>1.84</v>
      </c>
      <c r="N70" s="5">
        <v>26</v>
      </c>
      <c r="O70" s="3"/>
      <c r="P70" s="5">
        <v>106</v>
      </c>
      <c r="Q70" s="5">
        <v>-0.3</v>
      </c>
      <c r="R70" s="3"/>
      <c r="S70" s="3"/>
      <c r="T70" s="3"/>
      <c r="U70" s="3"/>
      <c r="V70" s="3"/>
      <c r="W70" s="3"/>
      <c r="X70" s="3"/>
      <c r="Y70" s="3"/>
      <c r="Z70" s="3"/>
      <c r="AA70" s="3" t="s">
        <v>39</v>
      </c>
      <c r="AB70" s="3">
        <v>46130.333333333336</v>
      </c>
      <c r="AC70" s="3" t="s">
        <v>239</v>
      </c>
      <c r="AD70" s="3" t="s">
        <v>35</v>
      </c>
      <c r="AE70" s="5" t="inlineStr">
        <is>
          <t>Log SP: Temp_F3_lab009.csv</t>
        </is>
      </c>
      <c r="AF70" s="5" t="inlineStr">
        <is>
          <t>SP 21 C; registro de temperatura</t>
        </is>
      </c>
      <c r="AG70" s="3"/>
      <c r="AH70" s="3"/>
      <c r="AI70" s="3"/>
      <c r="AJ70" s="3"/>
      <c r="AK70" s="3">
        <v>15.8</v>
      </c>
      <c r="AL70" s="3">
        <v>2.97</v>
      </c>
      <c r="AM70" s="3">
        <v>0.8</v>
      </c>
      <c r="AN70" s="3">
        <v>29.53</v>
      </c>
      <c r="AO70" s="3">
        <v>32.380000000000003</v>
      </c>
      <c r="AP70" s="3">
        <v>139.66</v>
      </c>
      <c r="AQ70" s="3">
        <v>0.2</v>
      </c>
      <c r="AR70" s="3"/>
      <c r="AS70" s="3">
        <v>-0.3</v>
      </c>
      <c r="AT70" s="5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5"/>
      <c r="BO70" s="3"/>
      <c r="BP70" s="3" t="s">
        <v>245</v>
      </c>
      <c r="BQ70" s="3"/>
      <c r="BR70" s="3"/>
      <c r="BS70" s="3"/>
      <c r="BT70" s="3"/>
      <c r="BU70" s="3"/>
      <c r="BV70" s="3" t="s">
        <v>141</v>
      </c>
      <c r="BW70" s="3"/>
      <c r="BX70" s="3"/>
      <c r="BY70" s="3"/>
    </row>
    <row r="71" spans="1:77">
      <c r="A71" s="3" t="s">
        <v>278</v>
      </c>
      <c r="B71" s="4">
        <v>46130.666666666664</v>
      </c>
      <c r="C71" s="5">
        <v>24</v>
      </c>
      <c r="D71" s="5" t="n">
        <v>21.0</v>
      </c>
      <c r="E71" s="5">
        <v>1059.9000000000001</v>
      </c>
      <c r="F71" s="5">
        <v>27.76</v>
      </c>
      <c r="G71" s="5"/>
      <c r="H71" s="5">
        <v>66.45</v>
      </c>
      <c r="I71" s="5">
        <v>74.929999999999993</v>
      </c>
      <c r="J71" s="5">
        <v>57</v>
      </c>
      <c r="K71" s="5">
        <v>111</v>
      </c>
      <c r="L71" s="5">
        <v>148.01999999999998</v>
      </c>
      <c r="M71" s="5">
        <v>1.79</v>
      </c>
      <c r="N71" s="5">
        <v>32</v>
      </c>
      <c r="O71" s="3"/>
      <c r="P71" s="5">
        <v>96</v>
      </c>
      <c r="Q71" s="5">
        <v>-0.3</v>
      </c>
      <c r="R71" s="3"/>
      <c r="S71" s="3"/>
      <c r="T71" s="3"/>
      <c r="U71" s="3"/>
      <c r="V71" s="3"/>
      <c r="W71" s="3"/>
      <c r="X71" s="3"/>
      <c r="Y71" s="3"/>
      <c r="Z71" s="3"/>
      <c r="AA71" s="3" t="s">
        <v>39</v>
      </c>
      <c r="AB71" s="3">
        <v>46130.666666666664</v>
      </c>
      <c r="AC71" s="3" t="s">
        <v>239</v>
      </c>
      <c r="AD71" s="3" t="s">
        <v>35</v>
      </c>
      <c r="AE71" s="5" t="inlineStr">
        <is>
          <t>Log SP: Temp_F3_lab009.csv</t>
        </is>
      </c>
      <c r="AF71" s="5" t="inlineStr">
        <is>
          <t>SP 21 C; registro de temperatura</t>
        </is>
      </c>
      <c r="AG71" s="3"/>
      <c r="AH71" s="3"/>
      <c r="AI71" s="3"/>
      <c r="AJ71" s="3"/>
      <c r="AK71" s="3">
        <v>15.1</v>
      </c>
      <c r="AL71" s="3">
        <v>2.96</v>
      </c>
      <c r="AM71" s="3">
        <v>0.88</v>
      </c>
      <c r="AN71" s="3">
        <v>27.84</v>
      </c>
      <c r="AO71" s="3">
        <v>31.86</v>
      </c>
      <c r="AP71" s="3">
        <v>141.38</v>
      </c>
      <c r="AQ71" s="3">
        <v>0.17</v>
      </c>
      <c r="AR71" s="3"/>
      <c r="AS71" s="3">
        <v>-0.3</v>
      </c>
      <c r="AT71" s="5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5"/>
      <c r="BO71" s="3"/>
      <c r="BP71" s="3" t="s">
        <v>245</v>
      </c>
      <c r="BQ71" s="3"/>
      <c r="BR71" s="3"/>
      <c r="BS71" s="3"/>
      <c r="BT71" s="3"/>
      <c r="BU71" s="3"/>
      <c r="BV71" s="3" t="s">
        <v>141</v>
      </c>
      <c r="BW71" s="3"/>
      <c r="BX71" s="3"/>
      <c r="BY71" s="3"/>
    </row>
    <row r="72" spans="1:77">
      <c r="A72" s="3" t="s">
        <v>279</v>
      </c>
      <c r="B72" s="4">
        <v>46131.333333333336</v>
      </c>
      <c r="C72" s="5">
        <v>40</v>
      </c>
      <c r="D72" s="5" t="n">
        <v>21.0</v>
      </c>
      <c r="E72" s="5">
        <v>1041.2</v>
      </c>
      <c r="F72" s="5">
        <v>52.27</v>
      </c>
      <c r="G72" s="5"/>
      <c r="H72" s="5">
        <v>43.64</v>
      </c>
      <c r="I72" s="5">
        <v>55.64</v>
      </c>
      <c r="J72" s="5">
        <v>21</v>
      </c>
      <c r="K72" s="5">
        <v>0</v>
      </c>
      <c r="L72" s="5">
        <v>21</v>
      </c>
      <c r="M72" s="5">
        <v>4.13</v>
      </c>
      <c r="N72" s="5">
        <v>40</v>
      </c>
      <c r="O72" s="3"/>
      <c r="P72" s="5">
        <v>108</v>
      </c>
      <c r="Q72" s="5">
        <v>-0.3</v>
      </c>
      <c r="R72" s="3"/>
      <c r="S72" s="3"/>
      <c r="T72" s="3"/>
      <c r="U72" s="3"/>
      <c r="V72" s="3"/>
      <c r="W72" s="3"/>
      <c r="X72" s="3"/>
      <c r="Y72" s="3"/>
      <c r="Z72" s="3"/>
      <c r="AA72" s="3" t="s">
        <v>39</v>
      </c>
      <c r="AB72" s="3">
        <v>46131.333333333336</v>
      </c>
      <c r="AC72" s="3" t="s">
        <v>239</v>
      </c>
      <c r="AD72" s="3" t="s">
        <v>35</v>
      </c>
      <c r="AE72" s="5" t="inlineStr">
        <is>
          <t>Log SP: Temp_F3_lab009.csv</t>
        </is>
      </c>
      <c r="AF72" s="5" t="inlineStr">
        <is>
          <t>SP 21 C; registro de temperatura</t>
        </is>
      </c>
      <c r="AG72" s="3"/>
      <c r="AH72" s="3"/>
      <c r="AI72" s="3"/>
      <c r="AJ72" s="3"/>
      <c r="AK72" s="3">
        <v>10.7</v>
      </c>
      <c r="AL72" s="3">
        <v>2.8</v>
      </c>
      <c r="AM72" s="3">
        <v>0.6</v>
      </c>
      <c r="AN72" s="3">
        <v>52.42</v>
      </c>
      <c r="AO72" s="3">
        <v>19.34</v>
      </c>
      <c r="AP72" s="3">
        <v>99.28</v>
      </c>
      <c r="AQ72" s="3">
        <v>0.25</v>
      </c>
      <c r="AR72" s="3"/>
      <c r="AS72" s="3">
        <v>-0.3</v>
      </c>
      <c r="AT72" s="5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5"/>
      <c r="BO72" s="3"/>
      <c r="BP72" s="3" t="s">
        <v>245</v>
      </c>
      <c r="BQ72" s="3"/>
      <c r="BR72" s="3"/>
      <c r="BS72" s="3"/>
      <c r="BT72" s="3"/>
      <c r="BU72" s="3"/>
      <c r="BV72" s="3" t="s">
        <v>141</v>
      </c>
      <c r="BW72" s="3"/>
      <c r="BX72" s="3"/>
      <c r="BY72" s="3"/>
    </row>
    <row r="73" spans="1:77">
      <c r="A73" s="3" t="s">
        <v>280</v>
      </c>
      <c r="B73" s="4">
        <v>46131.666666666664</v>
      </c>
      <c r="C73" s="5">
        <v>48</v>
      </c>
      <c r="D73" s="5" t="n">
        <v>21.0</v>
      </c>
      <c r="E73" s="5">
        <v>1036</v>
      </c>
      <c r="F73" s="5">
        <v>57.3</v>
      </c>
      <c r="G73" s="5">
        <v>8.1999999999999851E-2</v>
      </c>
      <c r="H73" s="5">
        <v>31.9</v>
      </c>
      <c r="I73" s="5">
        <v>42.530000000000008</v>
      </c>
      <c r="J73" s="5">
        <v>33</v>
      </c>
      <c r="K73" s="5">
        <v>46</v>
      </c>
      <c r="L73" s="5">
        <v>70.72</v>
      </c>
      <c r="M73" s="5">
        <v>4.07</v>
      </c>
      <c r="N73" s="5">
        <v>32</v>
      </c>
      <c r="O73" s="3"/>
      <c r="P73" s="5">
        <v>123</v>
      </c>
      <c r="Q73" s="5">
        <v>4.9400000000000004</v>
      </c>
      <c r="R73" s="3"/>
      <c r="S73" s="3"/>
      <c r="T73" s="3"/>
      <c r="U73" s="3"/>
      <c r="V73" s="3"/>
      <c r="W73" s="3"/>
      <c r="X73" s="3"/>
      <c r="Y73" s="3"/>
      <c r="Z73" s="3"/>
      <c r="AA73" s="3" t="s">
        <v>39</v>
      </c>
      <c r="AB73" s="3">
        <v>46131.666666666664</v>
      </c>
      <c r="AC73" s="3" t="s">
        <v>239</v>
      </c>
      <c r="AD73" s="3" t="s">
        <v>35</v>
      </c>
      <c r="AE73" s="5" t="inlineStr">
        <is>
          <t>Log SP: Temp_F3_lab009.csv</t>
        </is>
      </c>
      <c r="AF73" s="5" t="inlineStr">
        <is>
          <t>SP 21 C; registro de temperatura</t>
        </is>
      </c>
      <c r="AG73" s="3"/>
      <c r="AH73" s="3"/>
      <c r="AI73" s="3"/>
      <c r="AJ73" s="3"/>
      <c r="AK73" s="3">
        <v>9.6</v>
      </c>
      <c r="AL73" s="3">
        <v>2.84</v>
      </c>
      <c r="AM73" s="3">
        <v>0.3</v>
      </c>
      <c r="AN73" s="3">
        <v>57.3</v>
      </c>
      <c r="AO73" s="3">
        <v>23.46</v>
      </c>
      <c r="AP73" s="3">
        <v>74.430000000000007</v>
      </c>
      <c r="AQ73" s="3">
        <v>0.23</v>
      </c>
      <c r="AR73" s="3">
        <v>5.24</v>
      </c>
      <c r="AS73" s="3">
        <v>4.9400000000000004</v>
      </c>
      <c r="AT73" s="5" t="s">
        <v>125</v>
      </c>
      <c r="AU73" s="3"/>
      <c r="AV73" s="3"/>
      <c r="AW73" s="3"/>
      <c r="AX73" s="3"/>
      <c r="AY73" s="3"/>
      <c r="AZ73" s="3"/>
      <c r="BA73" s="3">
        <v>5.6230000000000002</v>
      </c>
      <c r="BB73" s="3">
        <v>5.7050000000000001</v>
      </c>
      <c r="BC73" s="3" t="s">
        <v>250</v>
      </c>
      <c r="BD73" s="3" t="s">
        <v>243</v>
      </c>
      <c r="BE73" s="3" t="s">
        <v>244</v>
      </c>
      <c r="BF73" s="3"/>
      <c r="BG73" s="3"/>
      <c r="BH73" s="3">
        <v>10</v>
      </c>
      <c r="BI73" s="3">
        <v>0</v>
      </c>
      <c r="BJ73" s="3">
        <v>4.9400000000000004</v>
      </c>
      <c r="BK73" s="3">
        <v>12.5</v>
      </c>
      <c r="BL73" s="3">
        <v>795.28718703976426</v>
      </c>
      <c r="BM73" s="3">
        <v>9204.7128129602352</v>
      </c>
      <c r="BN73" s="5"/>
      <c r="BO73" s="3"/>
      <c r="BP73" s="3" t="s">
        <v>245</v>
      </c>
      <c r="BQ73" s="3"/>
      <c r="BR73" s="3"/>
      <c r="BS73" s="3"/>
      <c r="BT73" s="3"/>
      <c r="BU73" s="3"/>
      <c r="BV73" s="3" t="s">
        <v>141</v>
      </c>
      <c r="BW73" s="3"/>
      <c r="BX73" s="3"/>
      <c r="BY73" s="3"/>
    </row>
    <row r="74" spans="1:77">
      <c r="A74" s="3" t="s">
        <v>281</v>
      </c>
      <c r="B74" s="4">
        <v>46132.333333333336</v>
      </c>
      <c r="C74" s="5">
        <v>64</v>
      </c>
      <c r="D74" s="5" t="n">
        <v>21.0</v>
      </c>
      <c r="E74" s="5">
        <v>1018.5</v>
      </c>
      <c r="F74" s="5">
        <v>64.290000000000006</v>
      </c>
      <c r="G74" s="5">
        <v>1.1599999999999611E-2</v>
      </c>
      <c r="H74" s="5">
        <v>12.94</v>
      </c>
      <c r="I74" s="5">
        <v>32.97</v>
      </c>
      <c r="J74" s="5">
        <v>19</v>
      </c>
      <c r="K74" s="5">
        <v>0</v>
      </c>
      <c r="L74" s="5">
        <v>19</v>
      </c>
      <c r="M74" s="5">
        <v>5</v>
      </c>
      <c r="N74" s="5">
        <v>39</v>
      </c>
      <c r="O74" s="3"/>
      <c r="P74" s="5">
        <v>99</v>
      </c>
      <c r="Q74" s="5">
        <v>7.28</v>
      </c>
      <c r="R74" s="3"/>
      <c r="S74" s="3"/>
      <c r="T74" s="3"/>
      <c r="U74" s="3"/>
      <c r="V74" s="3"/>
      <c r="W74" s="3"/>
      <c r="X74" s="3"/>
      <c r="Y74" s="3"/>
      <c r="Z74" s="3"/>
      <c r="AA74" s="3" t="s">
        <v>39</v>
      </c>
      <c r="AB74" s="3">
        <v>46132.333333333336</v>
      </c>
      <c r="AC74" s="3" t="s">
        <v>239</v>
      </c>
      <c r="AD74" s="3" t="s">
        <v>35</v>
      </c>
      <c r="AE74" s="5" t="inlineStr">
        <is>
          <t>Log SP: Temp_F3_lab009.csv</t>
        </is>
      </c>
      <c r="AF74" s="5" t="inlineStr">
        <is>
          <t>SP 21 C; registro de temperatura</t>
        </is>
      </c>
      <c r="AG74" s="3"/>
      <c r="AH74" s="3"/>
      <c r="AI74" s="3"/>
      <c r="AJ74" s="3"/>
      <c r="AK74" s="3">
        <v>5.2</v>
      </c>
      <c r="AL74" s="3">
        <v>2.81</v>
      </c>
      <c r="AM74" s="3">
        <v>0.34</v>
      </c>
      <c r="AN74" s="3">
        <v>65.06</v>
      </c>
      <c r="AO74" s="3">
        <v>22.43</v>
      </c>
      <c r="AP74" s="3">
        <v>45.91</v>
      </c>
      <c r="AQ74" s="3">
        <v>0.41</v>
      </c>
      <c r="AR74" s="3">
        <v>7.58</v>
      </c>
      <c r="AS74" s="3">
        <v>7.28</v>
      </c>
      <c r="AT74" s="5" t="s">
        <v>125</v>
      </c>
      <c r="AU74" s="3"/>
      <c r="AV74" s="3"/>
      <c r="AW74" s="3"/>
      <c r="AX74" s="3"/>
      <c r="AY74" s="3"/>
      <c r="AZ74" s="3"/>
      <c r="BA74" s="3">
        <v>5.5484</v>
      </c>
      <c r="BB74" s="3">
        <v>5.56</v>
      </c>
      <c r="BC74" s="3" t="s">
        <v>250</v>
      </c>
      <c r="BD74" s="3" t="s">
        <v>243</v>
      </c>
      <c r="BE74" s="3" t="s">
        <v>244</v>
      </c>
      <c r="BF74" s="3"/>
      <c r="BG74" s="3"/>
      <c r="BH74" s="3">
        <v>10</v>
      </c>
      <c r="BI74" s="3">
        <v>0</v>
      </c>
      <c r="BJ74" s="3">
        <v>7.28</v>
      </c>
      <c r="BK74" s="3">
        <v>12.5</v>
      </c>
      <c r="BL74" s="3">
        <v>562.98533218291641</v>
      </c>
      <c r="BM74" s="3">
        <v>9437.014667817084</v>
      </c>
      <c r="BN74" s="5"/>
      <c r="BO74" s="3"/>
      <c r="BP74" s="3" t="s">
        <v>245</v>
      </c>
      <c r="BQ74" s="3"/>
      <c r="BR74" s="3"/>
      <c r="BS74" s="3"/>
      <c r="BT74" s="3"/>
      <c r="BU74" s="3"/>
      <c r="BV74" s="3" t="s">
        <v>141</v>
      </c>
      <c r="BW74" s="3"/>
      <c r="BX74" s="3"/>
      <c r="BY74" s="3"/>
    </row>
    <row r="75" spans="1:77">
      <c r="A75" s="3" t="s">
        <v>282</v>
      </c>
      <c r="B75" s="4">
        <v>46132.666666666664</v>
      </c>
      <c r="C75" s="5">
        <v>72</v>
      </c>
      <c r="D75" s="5">
        <v>18</v>
      </c>
      <c r="E75" s="5">
        <v>1012.2</v>
      </c>
      <c r="F75" s="5">
        <v>60.6</v>
      </c>
      <c r="G75" s="5"/>
      <c r="H75" s="5">
        <v>9.42</v>
      </c>
      <c r="I75" s="5">
        <v>34.549999999999997</v>
      </c>
      <c r="J75" s="5">
        <v>17</v>
      </c>
      <c r="K75" s="5">
        <v>0</v>
      </c>
      <c r="L75" s="5">
        <v>17</v>
      </c>
      <c r="M75" s="5">
        <v>4.38</v>
      </c>
      <c r="N75" s="5">
        <v>31</v>
      </c>
      <c r="O75" s="3"/>
      <c r="P75" s="5">
        <v>103</v>
      </c>
      <c r="Q75" s="5">
        <v>-0.3</v>
      </c>
      <c r="R75" s="3"/>
      <c r="S75" s="3"/>
      <c r="T75" s="3"/>
      <c r="U75" s="3"/>
      <c r="V75" s="3"/>
      <c r="W75" s="3"/>
      <c r="X75" s="3"/>
      <c r="Y75" s="3"/>
      <c r="Z75" s="3"/>
      <c r="AA75" s="3" t="s">
        <v>39</v>
      </c>
      <c r="AB75" s="3">
        <v>46132.666666666664</v>
      </c>
      <c r="AC75" s="3" t="s">
        <v>239</v>
      </c>
      <c r="AD75" s="3" t="s">
        <v>35</v>
      </c>
      <c r="AE75" s="5" t="inlineStr">
        <is>
          <t>Log SP: Temp_F3_lab009.csv</t>
        </is>
      </c>
      <c r="AF75" s="5" t="inlineStr">
        <is>
          <t>SP 18 C; registro de temperatura</t>
        </is>
      </c>
      <c r="AG75" s="3"/>
      <c r="AH75" s="3"/>
      <c r="AI75" s="3"/>
      <c r="AJ75" s="3"/>
      <c r="AK75" s="3">
        <v>3.7</v>
      </c>
      <c r="AL75" s="3">
        <v>2.81</v>
      </c>
      <c r="AM75" s="3">
        <v>0.56999999999999995</v>
      </c>
      <c r="AN75" s="3">
        <v>60.68</v>
      </c>
      <c r="AO75" s="3">
        <v>22.66</v>
      </c>
      <c r="AP75" s="3">
        <v>43.97</v>
      </c>
      <c r="AQ75" s="3">
        <v>0.36</v>
      </c>
      <c r="AR75" s="3"/>
      <c r="AS75" s="3">
        <v>-0.3</v>
      </c>
      <c r="AT75" s="5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5"/>
      <c r="BO75" s="3"/>
      <c r="BP75" s="3" t="s">
        <v>245</v>
      </c>
      <c r="BQ75" s="3"/>
      <c r="BR75" s="3"/>
      <c r="BS75" s="3"/>
      <c r="BT75" s="3"/>
      <c r="BU75" s="3"/>
      <c r="BV75" s="3" t="s">
        <v>141</v>
      </c>
      <c r="BW75" s="3"/>
      <c r="BX75" s="3"/>
      <c r="BY75" s="3"/>
    </row>
    <row r="76" spans="1:77">
      <c r="A76" s="3" t="s">
        <v>283</v>
      </c>
      <c r="B76" s="4">
        <v>46133.333333333336</v>
      </c>
      <c r="C76" s="5">
        <v>88</v>
      </c>
      <c r="D76" s="5">
        <v>18</v>
      </c>
      <c r="E76" s="5">
        <v>1006.2</v>
      </c>
      <c r="F76" s="5">
        <v>59.06</v>
      </c>
      <c r="G76" s="5"/>
      <c r="H76" s="5">
        <v>4.38</v>
      </c>
      <c r="I76" s="5">
        <v>14.32</v>
      </c>
      <c r="J76" s="5">
        <v>17</v>
      </c>
      <c r="K76" s="5">
        <v>0</v>
      </c>
      <c r="L76" s="5">
        <v>17</v>
      </c>
      <c r="M76" s="5">
        <v>5.59</v>
      </c>
      <c r="N76" s="5">
        <v>31</v>
      </c>
      <c r="O76" s="3"/>
      <c r="P76" s="5">
        <v>82</v>
      </c>
      <c r="Q76" s="5">
        <v>-0.3</v>
      </c>
      <c r="R76" s="3"/>
      <c r="S76" s="3"/>
      <c r="T76" s="3"/>
      <c r="U76" s="3"/>
      <c r="V76" s="3"/>
      <c r="W76" s="3"/>
      <c r="X76" s="3"/>
      <c r="Y76" s="3"/>
      <c r="Z76" s="3"/>
      <c r="AA76" s="3" t="s">
        <v>39</v>
      </c>
      <c r="AB76" s="3">
        <v>46133.333333333336</v>
      </c>
      <c r="AC76" s="3" t="s">
        <v>239</v>
      </c>
      <c r="AD76" s="3" t="s">
        <v>35</v>
      </c>
      <c r="AE76" s="5" t="inlineStr">
        <is>
          <t>Log SP: Temp_F3_lab009.csv</t>
        </is>
      </c>
      <c r="AF76" s="5" t="inlineStr">
        <is>
          <t>SP 18 C; registro de temperatura</t>
        </is>
      </c>
      <c r="AG76" s="3"/>
      <c r="AH76" s="3"/>
      <c r="AI76" s="3"/>
      <c r="AJ76" s="3"/>
      <c r="AK76" s="3">
        <v>2</v>
      </c>
      <c r="AL76" s="3">
        <v>2.82</v>
      </c>
      <c r="AM76" s="3">
        <v>0.43</v>
      </c>
      <c r="AN76" s="3">
        <v>59.52</v>
      </c>
      <c r="AO76" s="3">
        <v>19.350000000000001</v>
      </c>
      <c r="AP76" s="3">
        <v>18.7</v>
      </c>
      <c r="AQ76" s="3">
        <v>0.36</v>
      </c>
      <c r="AR76" s="3"/>
      <c r="AS76" s="3">
        <v>-0.3</v>
      </c>
      <c r="AT76" s="5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5"/>
      <c r="BO76" s="3"/>
      <c r="BP76" s="3" t="s">
        <v>245</v>
      </c>
      <c r="BQ76" s="3"/>
      <c r="BR76" s="3"/>
      <c r="BS76" s="3"/>
      <c r="BT76" s="3"/>
      <c r="BU76" s="3"/>
      <c r="BV76" s="3" t="s">
        <v>141</v>
      </c>
      <c r="BW76" s="3"/>
      <c r="BX76" s="3"/>
      <c r="BY76" s="3"/>
    </row>
    <row r="77" spans="1:77">
      <c r="A77" s="3" t="s">
        <v>284</v>
      </c>
      <c r="B77" s="4">
        <v>46133.666666666664</v>
      </c>
      <c r="C77" s="5">
        <v>96</v>
      </c>
      <c r="D77" s="5" t="n">
        <v>18.0</v>
      </c>
      <c r="E77" s="5">
        <v>1002.8</v>
      </c>
      <c r="F77" s="5">
        <v>59.75</v>
      </c>
      <c r="G77" s="5"/>
      <c r="H77" s="5">
        <v>2.69</v>
      </c>
      <c r="I77" s="5">
        <v>13.700000000000001</v>
      </c>
      <c r="J77" s="5">
        <v>19</v>
      </c>
      <c r="K77" s="5">
        <v>0</v>
      </c>
      <c r="L77" s="5">
        <v>19</v>
      </c>
      <c r="M77" s="5">
        <v>6.58</v>
      </c>
      <c r="N77" s="5">
        <v>28</v>
      </c>
      <c r="O77" s="3"/>
      <c r="P77" s="5">
        <v>90</v>
      </c>
      <c r="Q77" s="5">
        <v>-0.3</v>
      </c>
      <c r="R77" s="3"/>
      <c r="S77" s="3"/>
      <c r="T77" s="3"/>
      <c r="U77" s="3"/>
      <c r="V77" s="3"/>
      <c r="W77" s="3"/>
      <c r="X77" s="3"/>
      <c r="Y77" s="3"/>
      <c r="Z77" s="3"/>
      <c r="AA77" s="3" t="s">
        <v>39</v>
      </c>
      <c r="AB77" s="3">
        <v>46133.666666666664</v>
      </c>
      <c r="AC77" s="3" t="s">
        <v>239</v>
      </c>
      <c r="AD77" s="3" t="s">
        <v>35</v>
      </c>
      <c r="AE77" s="5" t="inlineStr">
        <is>
          <t>Log SP: Temp_F3_lab009.csv</t>
        </is>
      </c>
      <c r="AF77" s="5" t="inlineStr">
        <is>
          <t>SP 18 C; registro de temperatura</t>
        </is>
      </c>
      <c r="AG77" s="3"/>
      <c r="AH77" s="3"/>
      <c r="AI77" s="3"/>
      <c r="AJ77" s="3"/>
      <c r="AK77" s="3">
        <v>1.2</v>
      </c>
      <c r="AL77" s="3">
        <v>2.83</v>
      </c>
      <c r="AM77" s="3">
        <v>0.44</v>
      </c>
      <c r="AN77" s="3">
        <v>60.83</v>
      </c>
      <c r="AO77" s="3">
        <v>17.05</v>
      </c>
      <c r="AP77" s="3">
        <v>16.39</v>
      </c>
      <c r="AQ77" s="3">
        <v>0.35</v>
      </c>
      <c r="AR77" s="3"/>
      <c r="AS77" s="3">
        <v>-0.3</v>
      </c>
      <c r="AT77" s="5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5"/>
      <c r="BO77" s="3"/>
      <c r="BP77" s="3" t="s">
        <v>245</v>
      </c>
      <c r="BQ77" s="3"/>
      <c r="BR77" s="3"/>
      <c r="BS77" s="3"/>
      <c r="BT77" s="3"/>
      <c r="BU77" s="3"/>
      <c r="BV77" s="3" t="s">
        <v>141</v>
      </c>
      <c r="BW77" s="3"/>
      <c r="BX77" s="3"/>
      <c r="BY77" s="3"/>
    </row>
    <row r="78" spans="1:77">
      <c r="A78" s="3" t="s">
        <v>286</v>
      </c>
      <c r="B78" s="4">
        <v>46134.666666666664</v>
      </c>
      <c r="C78" s="5">
        <v>120</v>
      </c>
      <c r="D78" s="5" t="n">
        <v>18.0</v>
      </c>
      <c r="E78" s="5">
        <v>997.5</v>
      </c>
      <c r="F78" s="5">
        <v>62.44</v>
      </c>
      <c r="G78" s="5"/>
      <c r="H78" s="5">
        <v>0.08</v>
      </c>
      <c r="I78" s="5">
        <v>3.32</v>
      </c>
      <c r="J78" s="5">
        <v>5</v>
      </c>
      <c r="K78" s="5">
        <v>0</v>
      </c>
      <c r="L78" s="5">
        <v>5</v>
      </c>
      <c r="M78" s="5">
        <v>5.95</v>
      </c>
      <c r="N78" s="5">
        <v>16</v>
      </c>
      <c r="O78" s="3"/>
      <c r="P78" s="5">
        <v>80</v>
      </c>
      <c r="Q78" s="5">
        <v>-0.3</v>
      </c>
      <c r="R78" s="3"/>
      <c r="S78" s="3"/>
      <c r="T78" s="3"/>
      <c r="U78" s="3"/>
      <c r="V78" s="3"/>
      <c r="W78" s="3"/>
      <c r="X78" s="3"/>
      <c r="Y78" s="3"/>
      <c r="Z78" s="3"/>
      <c r="AA78" s="3" t="s">
        <v>39</v>
      </c>
      <c r="AB78" s="3">
        <v>46134.666666666664</v>
      </c>
      <c r="AC78" s="3" t="s">
        <v>239</v>
      </c>
      <c r="AD78" s="3" t="s">
        <v>35</v>
      </c>
      <c r="AE78" s="5" t="inlineStr">
        <is>
          <t>Log SP: Temp_F3_lab009.csv</t>
        </is>
      </c>
      <c r="AF78" s="5" t="inlineStr">
        <is>
          <t>SP 18 C; registro de temperatura</t>
        </is>
      </c>
      <c r="AG78" s="3"/>
      <c r="AH78" s="3"/>
      <c r="AI78" s="3"/>
      <c r="AJ78" s="3"/>
      <c r="AK78" s="3">
        <v>-0.2</v>
      </c>
      <c r="AL78" s="3">
        <v>2.86</v>
      </c>
      <c r="AM78" s="3">
        <v>0.65</v>
      </c>
      <c r="AN78" s="3">
        <v>62.83</v>
      </c>
      <c r="AO78" s="3">
        <v>24.69</v>
      </c>
      <c r="AP78" s="3">
        <v>3.4</v>
      </c>
      <c r="AQ78" s="3">
        <v>0.35</v>
      </c>
      <c r="AR78" s="3"/>
      <c r="AS78" s="3">
        <v>-0.3</v>
      </c>
      <c r="AT78" s="5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5"/>
      <c r="BO78" s="3"/>
      <c r="BP78" s="3" t="s">
        <v>245</v>
      </c>
      <c r="BQ78" s="3"/>
      <c r="BR78" s="3"/>
      <c r="BS78" s="3"/>
      <c r="BT78" s="3"/>
      <c r="BU78" s="3"/>
      <c r="BV78" s="3" t="s">
        <v>141</v>
      </c>
      <c r="BW78" s="3"/>
      <c r="BX78" s="3"/>
      <c r="BY78" s="3"/>
    </row>
    <row r="79" spans="1:77">
      <c r="A79" s="3" t="s">
        <v>287</v>
      </c>
      <c r="B79" s="4">
        <v>46135.666666666664</v>
      </c>
      <c r="C79" s="5">
        <v>144</v>
      </c>
      <c r="D79" s="5" t="n">
        <v>18.0</v>
      </c>
      <c r="E79" s="5">
        <v>995.8</v>
      </c>
      <c r="F79" s="5">
        <v>57.3</v>
      </c>
      <c r="G79" s="5">
        <v>0.12999999999999989</v>
      </c>
      <c r="H79" s="5">
        <v>0</v>
      </c>
      <c r="I79" s="5">
        <v>0.2</v>
      </c>
      <c r="J79" s="5">
        <v>25</v>
      </c>
      <c r="K79" s="5">
        <v>0</v>
      </c>
      <c r="L79" s="5">
        <v>25</v>
      </c>
      <c r="M79" s="5">
        <v>5.63</v>
      </c>
      <c r="N79" s="5">
        <v>7</v>
      </c>
      <c r="O79" s="3"/>
      <c r="P79" s="5">
        <v>76</v>
      </c>
      <c r="Q79" s="5">
        <v>9.93</v>
      </c>
      <c r="R79" s="3"/>
      <c r="S79" s="3"/>
      <c r="T79" s="3"/>
      <c r="U79" s="3"/>
      <c r="V79" s="3"/>
      <c r="W79" s="3"/>
      <c r="X79" s="3"/>
      <c r="Y79" s="3"/>
      <c r="Z79" s="3"/>
      <c r="AA79" s="3" t="s">
        <v>39</v>
      </c>
      <c r="AB79" s="3">
        <v>46135.666666666664</v>
      </c>
      <c r="AC79" s="3" t="s">
        <v>239</v>
      </c>
      <c r="AD79" s="3" t="s">
        <v>35</v>
      </c>
      <c r="AE79" s="5" t="inlineStr">
        <is>
          <t>Log SP: Temp_F3_lab009.csv</t>
        </is>
      </c>
      <c r="AF79" s="5" t="inlineStr">
        <is>
          <t>SP 18 C; registro de temperatura</t>
        </is>
      </c>
      <c r="AG79" s="3"/>
      <c r="AH79" s="3"/>
      <c r="AI79" s="3"/>
      <c r="AJ79" s="3"/>
      <c r="AK79" s="3">
        <v>-0.5</v>
      </c>
      <c r="AL79" s="3">
        <v>2.86</v>
      </c>
      <c r="AM79" s="3">
        <v>1.9</v>
      </c>
      <c r="AN79" s="3">
        <v>58.99</v>
      </c>
      <c r="AO79" s="3">
        <v>19.010000000000002</v>
      </c>
      <c r="AP79" s="3">
        <v>0.2</v>
      </c>
      <c r="AQ79" s="3">
        <v>0.3</v>
      </c>
      <c r="AR79" s="3">
        <v>10.23</v>
      </c>
      <c r="AS79" s="3">
        <v>9.93</v>
      </c>
      <c r="AT79" s="5" t="s">
        <v>125</v>
      </c>
      <c r="AU79" s="3"/>
      <c r="AV79" s="3"/>
      <c r="AW79" s="3"/>
      <c r="AX79" s="3"/>
      <c r="AY79" s="3"/>
      <c r="AZ79" s="3"/>
      <c r="BA79" s="3">
        <v>5.5549999999999997</v>
      </c>
      <c r="BB79" s="3">
        <v>5.6849999999999996</v>
      </c>
      <c r="BC79" s="3" t="s">
        <v>250</v>
      </c>
      <c r="BD79" s="3" t="s">
        <v>243</v>
      </c>
      <c r="BE79" s="3" t="s">
        <v>244</v>
      </c>
      <c r="BF79" s="3"/>
      <c r="BG79" s="3"/>
      <c r="BH79" s="3">
        <v>10</v>
      </c>
      <c r="BI79" s="3">
        <v>0</v>
      </c>
      <c r="BJ79" s="3">
        <v>9.93</v>
      </c>
      <c r="BK79" s="3">
        <v>12.5</v>
      </c>
      <c r="BL79" s="3">
        <v>285.33362939935614</v>
      </c>
      <c r="BM79" s="3">
        <v>9714.6663706006439</v>
      </c>
      <c r="BN79" s="5"/>
      <c r="BO79" s="3"/>
      <c r="BP79" s="3" t="s">
        <v>245</v>
      </c>
      <c r="BQ79" s="3"/>
      <c r="BR79" s="3"/>
      <c r="BS79" s="3"/>
      <c r="BT79" s="3"/>
      <c r="BU79" s="3"/>
      <c r="BV79" s="3" t="s">
        <v>141</v>
      </c>
      <c r="BW79" s="3"/>
      <c r="BX79" s="3"/>
      <c r="BY79" s="3"/>
    </row>
    <row r="80" spans="1:77">
      <c r="A80" s="3" t="s">
        <v>288</v>
      </c>
      <c r="B80" s="4">
        <v>46136.333333333336</v>
      </c>
      <c r="C80" s="5">
        <v>160</v>
      </c>
      <c r="D80" s="5" t="n">
        <v>18.0</v>
      </c>
      <c r="E80" s="5">
        <v>995.8</v>
      </c>
      <c r="F80" s="5"/>
      <c r="G80" s="5">
        <v>0.10789999999999988</v>
      </c>
      <c r="H80" s="5">
        <v>0</v>
      </c>
      <c r="I80" s="5">
        <v>0.02</v>
      </c>
      <c r="J80" s="5">
        <v>0</v>
      </c>
      <c r="K80" s="5">
        <v>0</v>
      </c>
      <c r="L80" s="5">
        <v>0</v>
      </c>
      <c r="M80" s="5">
        <v>5.81</v>
      </c>
      <c r="N80" s="5">
        <v>5</v>
      </c>
      <c r="O80" s="3"/>
      <c r="P80" s="5">
        <v>79</v>
      </c>
      <c r="Q80" s="5">
        <v>10.25</v>
      </c>
      <c r="R80" s="3"/>
      <c r="S80" s="3"/>
      <c r="T80" s="3"/>
      <c r="U80" s="3"/>
      <c r="V80" s="3"/>
      <c r="W80" s="3"/>
      <c r="X80" s="3"/>
      <c r="Y80" s="3"/>
      <c r="Z80" s="3"/>
      <c r="AA80" s="3" t="s">
        <v>39</v>
      </c>
      <c r="AB80" s="3">
        <v>46136.333333333336</v>
      </c>
      <c r="AC80" s="3" t="s">
        <v>239</v>
      </c>
      <c r="AD80" s="3" t="s">
        <v>35</v>
      </c>
      <c r="AE80" s="5" t="inlineStr">
        <is>
          <t>Log SP: Temp_F3_lab009.csv</t>
        </is>
      </c>
      <c r="AF80" s="5" t="inlineStr">
        <is>
          <t>SP 18 C; registro de temperatura</t>
        </is>
      </c>
      <c r="AG80" s="3"/>
      <c r="AH80" s="3"/>
      <c r="AI80" s="3"/>
      <c r="AJ80" s="3"/>
      <c r="AK80" s="3">
        <v>-0.6</v>
      </c>
      <c r="AL80" s="3">
        <v>2.86</v>
      </c>
      <c r="AM80" s="3">
        <v>1.83</v>
      </c>
      <c r="AN80" s="3"/>
      <c r="AO80" s="3"/>
      <c r="AP80" s="3">
        <v>0.02</v>
      </c>
      <c r="AQ80" s="3">
        <v>0.34</v>
      </c>
      <c r="AR80" s="3">
        <v>10.55</v>
      </c>
      <c r="AS80" s="3">
        <v>10.25</v>
      </c>
      <c r="AT80" s="5" t="s">
        <v>125</v>
      </c>
      <c r="AU80" s="3"/>
      <c r="AV80" s="3"/>
      <c r="AW80" s="3"/>
      <c r="AX80" s="3"/>
      <c r="AY80" s="3"/>
      <c r="AZ80" s="3"/>
      <c r="BA80" s="3">
        <v>5.5381</v>
      </c>
      <c r="BB80" s="3">
        <v>5.6459999999999999</v>
      </c>
      <c r="BC80" s="3" t="s">
        <v>131</v>
      </c>
      <c r="BD80" s="3" t="s">
        <v>243</v>
      </c>
      <c r="BE80" s="3"/>
      <c r="BF80" s="3"/>
      <c r="BG80" s="3"/>
      <c r="BH80" s="3">
        <v>10</v>
      </c>
      <c r="BI80" s="3">
        <v>0</v>
      </c>
      <c r="BJ80" s="3">
        <v>10.25</v>
      </c>
      <c r="BK80" s="3">
        <v>12.5</v>
      </c>
      <c r="BL80" s="3">
        <v>250.69637883008355</v>
      </c>
      <c r="BM80" s="3">
        <v>9749.3036211699164</v>
      </c>
      <c r="BN80" s="5"/>
      <c r="BO80" s="3"/>
      <c r="BP80" s="3" t="s">
        <v>245</v>
      </c>
      <c r="BQ80" s="3"/>
      <c r="BR80" s="3"/>
      <c r="BS80" s="3"/>
      <c r="BT80" s="3"/>
      <c r="BU80" s="3"/>
      <c r="BV80" s="3" t="s">
        <v>141</v>
      </c>
      <c r="BW80" s="3"/>
      <c r="BX80" s="3"/>
      <c r="BY80" s="3"/>
    </row>
    <row r="81" spans="1:77">
      <c r="A81" s="3" t="s">
        <v>289</v>
      </c>
      <c r="B81" s="4">
        <v>46154.625</v>
      </c>
      <c r="C81" s="5">
        <v>5</v>
      </c>
      <c r="D81" s="5">
        <v>15</v>
      </c>
      <c r="E81" s="5">
        <v>1067.4000000000001</v>
      </c>
      <c r="F81" s="5">
        <v>32.03</v>
      </c>
      <c r="G81" s="5"/>
      <c r="H81" s="5">
        <v>78.489999999999995</v>
      </c>
      <c r="I81" s="5">
        <v>77.05</v>
      </c>
      <c r="J81" s="5">
        <v>115</v>
      </c>
      <c r="K81" s="5">
        <v>135</v>
      </c>
      <c r="L81" s="5">
        <v>225.7</v>
      </c>
      <c r="M81" s="5">
        <v>1.25</v>
      </c>
      <c r="N81" s="5">
        <v>0</v>
      </c>
      <c r="O81" s="3"/>
      <c r="P81" s="5"/>
      <c r="Q81" s="5"/>
      <c r="R81" s="3" t="s">
        <v>290</v>
      </c>
      <c r="S81" s="3"/>
      <c r="T81" s="3"/>
      <c r="U81" s="3"/>
      <c r="V81" s="3"/>
      <c r="W81" s="3"/>
      <c r="X81" s="3"/>
      <c r="Y81" s="3"/>
      <c r="Z81" s="3"/>
      <c r="AA81" s="3" t="s">
        <v>40</v>
      </c>
      <c r="AB81" s="3" t="s">
        <v>291</v>
      </c>
      <c r="AC81" s="3" t="s">
        <v>187</v>
      </c>
      <c r="AD81" s="3" t="s">
        <v>29</v>
      </c>
      <c r="AE81" s="5" t="s">
        <v>176</v>
      </c>
      <c r="AF81" s="5" t="s">
        <v>292</v>
      </c>
      <c r="AG81" s="3"/>
      <c r="AH81" s="3" t="s">
        <v>293</v>
      </c>
      <c r="AI81" s="3">
        <v>0</v>
      </c>
      <c r="AJ81" s="3" t="s">
        <v>124</v>
      </c>
      <c r="AK81" s="3">
        <v>17</v>
      </c>
      <c r="AL81" s="3">
        <v>3.15</v>
      </c>
      <c r="AM81" s="3">
        <v>10.71</v>
      </c>
      <c r="AN81" s="3">
        <v>35.79</v>
      </c>
      <c r="AO81" s="3">
        <v>13.52</v>
      </c>
      <c r="AP81" s="3">
        <v>155.54</v>
      </c>
      <c r="AQ81" s="3">
        <v>0.18</v>
      </c>
      <c r="AR81" s="3"/>
      <c r="AS81" s="3"/>
      <c r="AT81" s="5" t="s">
        <v>125</v>
      </c>
      <c r="AU81" s="3" t="s">
        <v>126</v>
      </c>
      <c r="AV81" s="3" t="s">
        <v>127</v>
      </c>
      <c r="AW81" s="3">
        <v>50</v>
      </c>
      <c r="AX81" s="3" t="s">
        <v>128</v>
      </c>
      <c r="AY81" s="3" t="s">
        <v>294</v>
      </c>
      <c r="AZ81" s="3" t="s">
        <v>295</v>
      </c>
      <c r="BA81" s="3"/>
      <c r="BB81" s="3"/>
      <c r="BC81" s="3" t="s">
        <v>250</v>
      </c>
      <c r="BD81" s="3" t="s">
        <v>243</v>
      </c>
      <c r="BE81" s="3" t="s">
        <v>244</v>
      </c>
      <c r="BF81" s="3"/>
      <c r="BG81" s="3"/>
      <c r="BH81" s="3">
        <v>10</v>
      </c>
      <c r="BI81" s="3">
        <v>0</v>
      </c>
      <c r="BJ81" s="3">
        <v>1.18</v>
      </c>
      <c r="BK81" s="3">
        <v>12.5</v>
      </c>
      <c r="BL81" s="3">
        <v>1145.517101801255</v>
      </c>
      <c r="BM81" s="3">
        <v>8854.4828981987448</v>
      </c>
      <c r="BN81" s="5">
        <v>2026</v>
      </c>
      <c r="BO81" s="3" t="s">
        <v>134</v>
      </c>
      <c r="BP81" s="3" t="s">
        <v>135</v>
      </c>
      <c r="BQ81" s="3" t="s">
        <v>296</v>
      </c>
      <c r="BR81" s="3" t="s">
        <v>137</v>
      </c>
      <c r="BS81" s="3" t="s">
        <v>297</v>
      </c>
      <c r="BT81" s="3" t="s">
        <v>213</v>
      </c>
      <c r="BU81" s="3" t="s">
        <v>140</v>
      </c>
      <c r="BV81" s="3" t="s">
        <v>141</v>
      </c>
      <c r="BW81" s="3">
        <v>2</v>
      </c>
      <c r="BX81" s="3" t="s">
        <v>298</v>
      </c>
      <c r="BY81" s="3" t="s">
        <v>299</v>
      </c>
    </row>
    <row r="82" spans="1:77">
      <c r="A82" s="3" t="s">
        <v>300</v>
      </c>
      <c r="B82" s="4">
        <v>46155.416666666664</v>
      </c>
      <c r="C82" s="5">
        <v>24</v>
      </c>
      <c r="D82" s="5">
        <v>15</v>
      </c>
      <c r="E82" s="5">
        <v>1067.5999999999999</v>
      </c>
      <c r="F82" s="5">
        <v>31.64</v>
      </c>
      <c r="G82" s="5"/>
      <c r="H82" s="5"/>
      <c r="I82" s="5">
        <v>0</v>
      </c>
      <c r="J82" s="5"/>
      <c r="K82" s="5"/>
      <c r="L82" s="5"/>
      <c r="M82" s="5"/>
      <c r="N82" s="5"/>
      <c r="O82" s="3"/>
      <c r="P82" s="5"/>
      <c r="Q82" s="5"/>
      <c r="R82" s="3"/>
      <c r="S82" s="3"/>
      <c r="T82" s="3"/>
      <c r="U82" s="3"/>
      <c r="V82" s="3"/>
      <c r="W82" s="3"/>
      <c r="X82" s="3"/>
      <c r="Y82" s="3"/>
      <c r="Z82" s="3"/>
      <c r="AA82" s="3" t="s">
        <v>40</v>
      </c>
      <c r="AB82" s="3">
        <v>46155.416666666664</v>
      </c>
      <c r="AC82" s="3" t="s">
        <v>239</v>
      </c>
      <c r="AD82" s="3" t="s">
        <v>29</v>
      </c>
      <c r="AE82" s="5" t="s">
        <v>176</v>
      </c>
      <c r="AF82" s="5" t="s">
        <v>292</v>
      </c>
      <c r="AG82" s="3"/>
      <c r="AH82" s="3"/>
      <c r="AI82" s="3"/>
      <c r="AJ82" s="3"/>
      <c r="AK82" s="3">
        <v>16.899999999999999</v>
      </c>
      <c r="AL82" s="3">
        <v>3.13</v>
      </c>
      <c r="AM82" s="3">
        <v>1.44</v>
      </c>
      <c r="AN82" s="3">
        <v>32.33</v>
      </c>
      <c r="AO82" s="3">
        <v>20.9</v>
      </c>
      <c r="AP82" s="3"/>
      <c r="AQ82" s="3"/>
      <c r="AR82" s="3"/>
      <c r="AS82" s="3"/>
      <c r="AT82" s="5" t="s">
        <v>146</v>
      </c>
      <c r="AU82" s="3" t="s">
        <v>147</v>
      </c>
      <c r="AV82" s="3" t="s">
        <v>127</v>
      </c>
      <c r="AW82" s="3">
        <v>15</v>
      </c>
      <c r="AX82" s="3" t="s">
        <v>148</v>
      </c>
      <c r="AY82" s="3" t="s">
        <v>301</v>
      </c>
      <c r="AZ82" s="3" t="s">
        <v>295</v>
      </c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5">
        <v>2026</v>
      </c>
      <c r="BO82" s="3" t="s">
        <v>134</v>
      </c>
      <c r="BP82" s="3" t="s">
        <v>135</v>
      </c>
      <c r="BQ82" s="3" t="s">
        <v>296</v>
      </c>
      <c r="BR82" s="3" t="s">
        <v>137</v>
      </c>
      <c r="BS82" s="3" t="s">
        <v>297</v>
      </c>
      <c r="BT82" s="3" t="s">
        <v>213</v>
      </c>
      <c r="BU82" s="3" t="s">
        <v>140</v>
      </c>
      <c r="BV82" s="3" t="s">
        <v>141</v>
      </c>
      <c r="BW82" s="3">
        <v>2</v>
      </c>
      <c r="BX82" s="3" t="s">
        <v>298</v>
      </c>
      <c r="BY82" s="3" t="s">
        <v>299</v>
      </c>
    </row>
    <row r="83" spans="1:77">
      <c r="A83" s="3" t="s">
        <v>302</v>
      </c>
      <c r="B83" s="4">
        <v>46155.625</v>
      </c>
      <c r="C83" s="5">
        <v>29</v>
      </c>
      <c r="D83" s="5">
        <v>15</v>
      </c>
      <c r="E83" s="5">
        <v>1066.5</v>
      </c>
      <c r="F83" s="5">
        <v>42.63</v>
      </c>
      <c r="G83" s="5"/>
      <c r="H83" s="5"/>
      <c r="I83" s="5">
        <v>0</v>
      </c>
      <c r="J83" s="5"/>
      <c r="K83" s="5"/>
      <c r="L83" s="5"/>
      <c r="M83" s="5"/>
      <c r="N83" s="5"/>
      <c r="O83" s="3"/>
      <c r="P83" s="5"/>
      <c r="Q83" s="5"/>
      <c r="R83" s="3"/>
      <c r="S83" s="3"/>
      <c r="T83" s="3"/>
      <c r="U83" s="3"/>
      <c r="V83" s="3"/>
      <c r="W83" s="3"/>
      <c r="X83" s="3"/>
      <c r="Y83" s="3"/>
      <c r="Z83" s="3"/>
      <c r="AA83" s="3" t="s">
        <v>40</v>
      </c>
      <c r="AB83" s="3" t="s">
        <v>303</v>
      </c>
      <c r="AC83" s="3" t="s">
        <v>187</v>
      </c>
      <c r="AD83" s="3" t="s">
        <v>29</v>
      </c>
      <c r="AE83" s="5" t="s">
        <v>176</v>
      </c>
      <c r="AF83" s="5" t="s">
        <v>292</v>
      </c>
      <c r="AG83" s="3"/>
      <c r="AH83" s="3"/>
      <c r="AI83" s="3"/>
      <c r="AJ83" s="3"/>
      <c r="AK83" s="3">
        <v>16.7</v>
      </c>
      <c r="AL83" s="3">
        <v>3.1</v>
      </c>
      <c r="AM83" s="3">
        <v>1.76</v>
      </c>
      <c r="AN83" s="3">
        <v>43.32</v>
      </c>
      <c r="AO83" s="3">
        <v>18.62</v>
      </c>
      <c r="AP83" s="3"/>
      <c r="AQ83" s="3"/>
      <c r="AR83" s="3"/>
      <c r="AS83" s="3"/>
      <c r="AT83" s="5" t="s">
        <v>146</v>
      </c>
      <c r="AU83" s="3" t="s">
        <v>152</v>
      </c>
      <c r="AV83" s="3" t="s">
        <v>127</v>
      </c>
      <c r="AW83" s="3">
        <v>15</v>
      </c>
      <c r="AX83" s="3" t="s">
        <v>148</v>
      </c>
      <c r="AY83" s="3" t="s">
        <v>301</v>
      </c>
      <c r="AZ83" s="3" t="s">
        <v>295</v>
      </c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5">
        <v>2026</v>
      </c>
      <c r="BO83" s="3" t="s">
        <v>134</v>
      </c>
      <c r="BP83" s="3" t="s">
        <v>135</v>
      </c>
      <c r="BQ83" s="3" t="s">
        <v>296</v>
      </c>
      <c r="BR83" s="3" t="s">
        <v>137</v>
      </c>
      <c r="BS83" s="3" t="s">
        <v>297</v>
      </c>
      <c r="BT83" s="3" t="s">
        <v>213</v>
      </c>
      <c r="BU83" s="3" t="s">
        <v>140</v>
      </c>
      <c r="BV83" s="3" t="s">
        <v>141</v>
      </c>
      <c r="BW83" s="3">
        <v>2</v>
      </c>
      <c r="BX83" s="3" t="s">
        <v>298</v>
      </c>
      <c r="BY83" s="3" t="s">
        <v>299</v>
      </c>
    </row>
    <row r="84" spans="1:77">
      <c r="A84" s="3" t="s">
        <v>304</v>
      </c>
      <c r="B84" s="4">
        <v>46156.416666666664</v>
      </c>
      <c r="C84" s="5">
        <v>48</v>
      </c>
      <c r="D84" s="5">
        <v>15</v>
      </c>
      <c r="E84" s="5">
        <v>1065.3</v>
      </c>
      <c r="F84" s="5">
        <v>26.15</v>
      </c>
      <c r="G84" s="5"/>
      <c r="H84" s="5"/>
      <c r="I84" s="5">
        <v>0</v>
      </c>
      <c r="J84" s="5"/>
      <c r="K84" s="5"/>
      <c r="L84" s="5"/>
      <c r="M84" s="5"/>
      <c r="N84" s="5"/>
      <c r="O84" s="3"/>
      <c r="P84" s="5"/>
      <c r="Q84" s="5"/>
      <c r="R84" s="3"/>
      <c r="S84" s="3"/>
      <c r="T84" s="3"/>
      <c r="U84" s="3"/>
      <c r="V84" s="3"/>
      <c r="W84" s="3"/>
      <c r="X84" s="3"/>
      <c r="Y84" s="3"/>
      <c r="Z84" s="3"/>
      <c r="AA84" s="3" t="s">
        <v>40</v>
      </c>
      <c r="AB84" s="3">
        <v>46156.416666666664</v>
      </c>
      <c r="AC84" s="3" t="s">
        <v>239</v>
      </c>
      <c r="AD84" s="3" t="s">
        <v>29</v>
      </c>
      <c r="AE84" s="5" t="s">
        <v>176</v>
      </c>
      <c r="AF84" s="5" t="s">
        <v>292</v>
      </c>
      <c r="AG84" s="3"/>
      <c r="AH84" s="3"/>
      <c r="AI84" s="3"/>
      <c r="AJ84" s="3"/>
      <c r="AK84" s="3">
        <v>16.399999999999999</v>
      </c>
      <c r="AL84" s="3">
        <v>3.09</v>
      </c>
      <c r="AM84" s="3">
        <v>1.1599999999999999</v>
      </c>
      <c r="AN84" s="3">
        <v>26.23</v>
      </c>
      <c r="AO84" s="3">
        <v>28.4</v>
      </c>
      <c r="AP84" s="3"/>
      <c r="AQ84" s="3"/>
      <c r="AR84" s="3"/>
      <c r="AS84" s="3"/>
      <c r="AT84" s="5" t="s">
        <v>146</v>
      </c>
      <c r="AU84" s="3" t="s">
        <v>158</v>
      </c>
      <c r="AV84" s="3" t="s">
        <v>127</v>
      </c>
      <c r="AW84" s="3">
        <v>15</v>
      </c>
      <c r="AX84" s="3" t="s">
        <v>148</v>
      </c>
      <c r="AY84" s="3" t="s">
        <v>301</v>
      </c>
      <c r="AZ84" s="3" t="s">
        <v>295</v>
      </c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5">
        <v>2026</v>
      </c>
      <c r="BO84" s="3" t="s">
        <v>134</v>
      </c>
      <c r="BP84" s="3" t="s">
        <v>135</v>
      </c>
      <c r="BQ84" s="3" t="s">
        <v>296</v>
      </c>
      <c r="BR84" s="3" t="s">
        <v>137</v>
      </c>
      <c r="BS84" s="3" t="s">
        <v>297</v>
      </c>
      <c r="BT84" s="3" t="s">
        <v>213</v>
      </c>
      <c r="BU84" s="3" t="s">
        <v>140</v>
      </c>
      <c r="BV84" s="3" t="s">
        <v>141</v>
      </c>
      <c r="BW84" s="3">
        <v>2</v>
      </c>
      <c r="BX84" s="3" t="s">
        <v>298</v>
      </c>
      <c r="BY84" s="3" t="s">
        <v>299</v>
      </c>
    </row>
    <row r="85" spans="1:77">
      <c r="A85" s="3" t="s">
        <v>305</v>
      </c>
      <c r="B85" s="4">
        <v>46157.416666666664</v>
      </c>
      <c r="C85" s="5">
        <v>72</v>
      </c>
      <c r="D85" s="5">
        <v>15</v>
      </c>
      <c r="E85" s="5">
        <v>1060.8</v>
      </c>
      <c r="F85" s="5">
        <v>39.479999999999997</v>
      </c>
      <c r="G85" s="5"/>
      <c r="H85" s="5">
        <v>59.59</v>
      </c>
      <c r="I85" s="5">
        <v>81.949999999999989</v>
      </c>
      <c r="J85" s="5">
        <v>77</v>
      </c>
      <c r="K85" s="5">
        <v>91</v>
      </c>
      <c r="L85" s="5">
        <v>151.62</v>
      </c>
      <c r="M85" s="5">
        <v>2.0499999999999998</v>
      </c>
      <c r="N85" s="5">
        <v>28</v>
      </c>
      <c r="O85" s="3"/>
      <c r="P85" s="5"/>
      <c r="Q85" s="5"/>
      <c r="R85" s="3"/>
      <c r="S85" s="3"/>
      <c r="T85" s="3"/>
      <c r="U85" s="3"/>
      <c r="V85" s="3"/>
      <c r="W85" s="3"/>
      <c r="X85" s="3"/>
      <c r="Y85" s="3"/>
      <c r="Z85" s="3"/>
      <c r="AA85" s="3" t="s">
        <v>40</v>
      </c>
      <c r="AB85" s="3">
        <v>46157.416666666664</v>
      </c>
      <c r="AC85" s="3" t="s">
        <v>239</v>
      </c>
      <c r="AD85" s="3" t="s">
        <v>29</v>
      </c>
      <c r="AE85" s="5" t="s">
        <v>176</v>
      </c>
      <c r="AF85" s="5" t="s">
        <v>292</v>
      </c>
      <c r="AG85" s="3"/>
      <c r="AH85" s="3"/>
      <c r="AI85" s="3"/>
      <c r="AJ85" s="3"/>
      <c r="AK85" s="3">
        <v>15.2</v>
      </c>
      <c r="AL85" s="3">
        <v>3.07</v>
      </c>
      <c r="AM85" s="3">
        <v>0.77</v>
      </c>
      <c r="AN85" s="3">
        <v>40.25</v>
      </c>
      <c r="AO85" s="3">
        <v>24.43</v>
      </c>
      <c r="AP85" s="3">
        <v>141.54</v>
      </c>
      <c r="AQ85" s="3">
        <v>0.23</v>
      </c>
      <c r="AR85" s="3"/>
      <c r="AS85" s="3"/>
      <c r="AT85" s="5" t="s">
        <v>146</v>
      </c>
      <c r="AU85" s="3" t="s">
        <v>306</v>
      </c>
      <c r="AV85" s="3" t="s">
        <v>127</v>
      </c>
      <c r="AW85" s="3">
        <v>15</v>
      </c>
      <c r="AX85" s="3" t="s">
        <v>148</v>
      </c>
      <c r="AY85" s="3" t="s">
        <v>301</v>
      </c>
      <c r="AZ85" s="3" t="s">
        <v>295</v>
      </c>
      <c r="BA85" s="3"/>
      <c r="BB85" s="3"/>
      <c r="BC85" s="3"/>
      <c r="BD85" s="3"/>
      <c r="BE85" s="3"/>
      <c r="BF85" s="3"/>
      <c r="BG85" s="3"/>
      <c r="BH85" s="3">
        <v>10</v>
      </c>
      <c r="BI85" s="3">
        <v>0</v>
      </c>
      <c r="BJ85" s="3">
        <v>2.08</v>
      </c>
      <c r="BK85" s="3">
        <v>12.5</v>
      </c>
      <c r="BL85" s="3">
        <v>1064.1339869281046</v>
      </c>
      <c r="BM85" s="3">
        <v>8935.8660130718963</v>
      </c>
      <c r="BN85" s="5">
        <v>2026</v>
      </c>
      <c r="BO85" s="3" t="s">
        <v>134</v>
      </c>
      <c r="BP85" s="3" t="s">
        <v>135</v>
      </c>
      <c r="BQ85" s="3" t="s">
        <v>296</v>
      </c>
      <c r="BR85" s="3" t="s">
        <v>137</v>
      </c>
      <c r="BS85" s="3" t="s">
        <v>297</v>
      </c>
      <c r="BT85" s="3" t="s">
        <v>213</v>
      </c>
      <c r="BU85" s="3" t="s">
        <v>140</v>
      </c>
      <c r="BV85" s="3" t="s">
        <v>141</v>
      </c>
      <c r="BW85" s="3">
        <v>2</v>
      </c>
      <c r="BX85" s="3" t="s">
        <v>298</v>
      </c>
      <c r="BY85" s="3" t="s">
        <v>299</v>
      </c>
    </row>
    <row r="86" spans="1:77">
      <c r="A86" s="3" t="s">
        <v>307</v>
      </c>
      <c r="B86" s="4">
        <v>46157.625</v>
      </c>
      <c r="C86" s="5">
        <v>77</v>
      </c>
      <c r="D86" s="5">
        <v>15</v>
      </c>
      <c r="E86" s="5">
        <v>1065.2</v>
      </c>
      <c r="F86" s="5">
        <v>31.26</v>
      </c>
      <c r="G86" s="5"/>
      <c r="H86" s="5"/>
      <c r="I86" s="5">
        <v>0</v>
      </c>
      <c r="J86" s="5"/>
      <c r="K86" s="5"/>
      <c r="L86" s="5"/>
      <c r="M86" s="5"/>
      <c r="N86" s="5"/>
      <c r="O86" s="3"/>
      <c r="P86" s="5"/>
      <c r="Q86" s="5"/>
      <c r="R86" s="3"/>
      <c r="S86" s="3"/>
      <c r="T86" s="3"/>
      <c r="U86" s="3"/>
      <c r="V86" s="3"/>
      <c r="W86" s="3"/>
      <c r="X86" s="3"/>
      <c r="Y86" s="3"/>
      <c r="Z86" s="3"/>
      <c r="AA86" s="3" t="s">
        <v>40</v>
      </c>
      <c r="AB86" s="3" t="s">
        <v>308</v>
      </c>
      <c r="AC86" s="3" t="s">
        <v>187</v>
      </c>
      <c r="AD86" s="3" t="s">
        <v>29</v>
      </c>
      <c r="AE86" s="5" t="s">
        <v>176</v>
      </c>
      <c r="AF86" s="5" t="s">
        <v>292</v>
      </c>
      <c r="AG86" s="3"/>
      <c r="AH86" s="3"/>
      <c r="AI86" s="3"/>
      <c r="AJ86" s="3"/>
      <c r="AK86" s="3">
        <v>16.3</v>
      </c>
      <c r="AL86" s="3">
        <v>3.11</v>
      </c>
      <c r="AM86" s="3">
        <v>1.75</v>
      </c>
      <c r="AN86" s="3">
        <v>31.49</v>
      </c>
      <c r="AO86" s="3">
        <v>23.66</v>
      </c>
      <c r="AP86" s="3"/>
      <c r="AQ86" s="3"/>
      <c r="AR86" s="3"/>
      <c r="AS86" s="3"/>
      <c r="AT86" s="5" t="s">
        <v>125</v>
      </c>
      <c r="AU86" s="3" t="s">
        <v>309</v>
      </c>
      <c r="AV86" s="3" t="s">
        <v>127</v>
      </c>
      <c r="AW86" s="3">
        <v>50</v>
      </c>
      <c r="AX86" s="3" t="s">
        <v>128</v>
      </c>
      <c r="AY86" s="3" t="s">
        <v>310</v>
      </c>
      <c r="AZ86" s="3" t="s">
        <v>295</v>
      </c>
      <c r="BA86" s="3"/>
      <c r="BB86" s="3"/>
      <c r="BC86" s="3" t="s">
        <v>131</v>
      </c>
      <c r="BD86" s="3" t="s">
        <v>243</v>
      </c>
      <c r="BE86" s="3" t="s">
        <v>133</v>
      </c>
      <c r="BF86" s="3"/>
      <c r="BG86" s="3"/>
      <c r="BH86" s="3"/>
      <c r="BI86" s="3"/>
      <c r="BJ86" s="3"/>
      <c r="BK86" s="3"/>
      <c r="BL86" s="3"/>
      <c r="BM86" s="3"/>
      <c r="BN86" s="5">
        <v>2026</v>
      </c>
      <c r="BO86" s="3" t="s">
        <v>134</v>
      </c>
      <c r="BP86" s="3" t="s">
        <v>135</v>
      </c>
      <c r="BQ86" s="3" t="s">
        <v>296</v>
      </c>
      <c r="BR86" s="3" t="s">
        <v>137</v>
      </c>
      <c r="BS86" s="3" t="s">
        <v>297</v>
      </c>
      <c r="BT86" s="3" t="s">
        <v>213</v>
      </c>
      <c r="BU86" s="3" t="s">
        <v>140</v>
      </c>
      <c r="BV86" s="3" t="s">
        <v>141</v>
      </c>
      <c r="BW86" s="3">
        <v>2</v>
      </c>
      <c r="BX86" s="3" t="s">
        <v>298</v>
      </c>
      <c r="BY86" s="3" t="s">
        <v>299</v>
      </c>
    </row>
    <row r="87" spans="1:77">
      <c r="A87" s="3" t="s">
        <v>311</v>
      </c>
      <c r="B87" s="4">
        <v>46160.416666666664</v>
      </c>
      <c r="C87" s="5">
        <v>144</v>
      </c>
      <c r="D87" s="5">
        <v>15</v>
      </c>
      <c r="E87" s="5">
        <v>1015.1</v>
      </c>
      <c r="F87" s="5">
        <v>111.21</v>
      </c>
      <c r="G87" s="5"/>
      <c r="H87" s="5"/>
      <c r="I87" s="5">
        <v>0</v>
      </c>
      <c r="J87" s="5"/>
      <c r="K87" s="5"/>
      <c r="L87" s="5"/>
      <c r="M87" s="5"/>
      <c r="N87" s="5"/>
      <c r="O87" s="3"/>
      <c r="P87" s="5"/>
      <c r="Q87" s="5"/>
      <c r="R87" s="3" t="s">
        <v>290</v>
      </c>
      <c r="S87" s="3"/>
      <c r="T87" s="3"/>
      <c r="U87" s="3"/>
      <c r="V87" s="3"/>
      <c r="W87" s="3"/>
      <c r="X87" s="3"/>
      <c r="Y87" s="3"/>
      <c r="Z87" s="3"/>
      <c r="AA87" s="3" t="s">
        <v>40</v>
      </c>
      <c r="AB87" s="3">
        <v>46160.416666666664</v>
      </c>
      <c r="AC87" s="3" t="s">
        <v>239</v>
      </c>
      <c r="AD87" s="3" t="s">
        <v>29</v>
      </c>
      <c r="AE87" s="5" t="s">
        <v>176</v>
      </c>
      <c r="AF87" s="5" t="s">
        <v>292</v>
      </c>
      <c r="AG87" s="3"/>
      <c r="AH87" s="3" t="s">
        <v>312</v>
      </c>
      <c r="AI87" s="3">
        <v>84</v>
      </c>
      <c r="AJ87" s="3" t="s">
        <v>163</v>
      </c>
      <c r="AK87" s="3">
        <v>4.4000000000000004</v>
      </c>
      <c r="AL87" s="3">
        <v>2.99</v>
      </c>
      <c r="AM87" s="3">
        <v>0.55000000000000004</v>
      </c>
      <c r="AN87" s="3">
        <v>111.83</v>
      </c>
      <c r="AO87" s="3">
        <v>20.88</v>
      </c>
      <c r="AP87" s="3"/>
      <c r="AQ87" s="3"/>
      <c r="AR87" s="3"/>
      <c r="AS87" s="3"/>
      <c r="AT87" s="5" t="s">
        <v>146</v>
      </c>
      <c r="AU87" s="3" t="s">
        <v>313</v>
      </c>
      <c r="AV87" s="3" t="s">
        <v>127</v>
      </c>
      <c r="AW87" s="3">
        <v>15</v>
      </c>
      <c r="AX87" s="3" t="s">
        <v>148</v>
      </c>
      <c r="AY87" s="3" t="s">
        <v>301</v>
      </c>
      <c r="AZ87" s="3" t="s">
        <v>295</v>
      </c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5">
        <v>2026</v>
      </c>
      <c r="BO87" s="3" t="s">
        <v>134</v>
      </c>
      <c r="BP87" s="3" t="s">
        <v>135</v>
      </c>
      <c r="BQ87" s="3" t="s">
        <v>296</v>
      </c>
      <c r="BR87" s="3" t="s">
        <v>137</v>
      </c>
      <c r="BS87" s="3" t="s">
        <v>297</v>
      </c>
      <c r="BT87" s="3" t="s">
        <v>213</v>
      </c>
      <c r="BU87" s="3" t="s">
        <v>140</v>
      </c>
      <c r="BV87" s="3" t="s">
        <v>141</v>
      </c>
      <c r="BW87" s="3">
        <v>2</v>
      </c>
      <c r="BX87" s="3" t="s">
        <v>298</v>
      </c>
      <c r="BY87" s="3" t="s">
        <v>299</v>
      </c>
    </row>
    <row r="88" spans="1:77">
      <c r="A88" s="3" t="s">
        <v>314</v>
      </c>
      <c r="B88" s="4">
        <v>46161.416666666664</v>
      </c>
      <c r="C88" s="5">
        <v>168</v>
      </c>
      <c r="D88" s="5">
        <v>15</v>
      </c>
      <c r="E88" s="5">
        <v>1004.7</v>
      </c>
      <c r="F88" s="5">
        <v>85.79</v>
      </c>
      <c r="G88" s="5"/>
      <c r="H88" s="5">
        <v>0.3</v>
      </c>
      <c r="I88" s="5">
        <v>15.389999999999999</v>
      </c>
      <c r="J88" s="5">
        <v>16</v>
      </c>
      <c r="K88" s="5">
        <v>0</v>
      </c>
      <c r="L88" s="5">
        <v>16</v>
      </c>
      <c r="M88" s="5">
        <v>5.49</v>
      </c>
      <c r="N88" s="5">
        <v>40</v>
      </c>
      <c r="O88" s="3"/>
      <c r="P88" s="5"/>
      <c r="Q88" s="5"/>
      <c r="R88" s="3"/>
      <c r="S88" s="3"/>
      <c r="T88" s="3"/>
      <c r="U88" s="3"/>
      <c r="V88" s="3"/>
      <c r="W88" s="3"/>
      <c r="X88" s="3"/>
      <c r="Y88" s="3"/>
      <c r="Z88" s="3"/>
      <c r="AA88" s="3" t="s">
        <v>40</v>
      </c>
      <c r="AB88" s="3">
        <v>46161.416666666664</v>
      </c>
      <c r="AC88" s="3" t="s">
        <v>239</v>
      </c>
      <c r="AD88" s="3" t="s">
        <v>29</v>
      </c>
      <c r="AE88" s="5" t="s">
        <v>176</v>
      </c>
      <c r="AF88" s="5" t="s">
        <v>292</v>
      </c>
      <c r="AG88" s="3"/>
      <c r="AH88" s="3"/>
      <c r="AI88" s="3"/>
      <c r="AJ88" s="3"/>
      <c r="AK88" s="3">
        <v>1.6</v>
      </c>
      <c r="AL88" s="3">
        <v>2.95</v>
      </c>
      <c r="AM88" s="3">
        <v>0.88</v>
      </c>
      <c r="AN88" s="3">
        <v>86.18</v>
      </c>
      <c r="AO88" s="3">
        <v>18.36</v>
      </c>
      <c r="AP88" s="3">
        <v>15.69</v>
      </c>
      <c r="AQ88" s="3">
        <v>0.45</v>
      </c>
      <c r="AR88" s="3"/>
      <c r="AS88" s="3"/>
      <c r="AT88" s="5" t="s">
        <v>146</v>
      </c>
      <c r="AU88" s="3" t="s">
        <v>315</v>
      </c>
      <c r="AV88" s="3" t="s">
        <v>127</v>
      </c>
      <c r="AW88" s="3">
        <v>15</v>
      </c>
      <c r="AX88" s="3" t="s">
        <v>148</v>
      </c>
      <c r="AY88" s="3" t="s">
        <v>301</v>
      </c>
      <c r="AZ88" s="3" t="s">
        <v>295</v>
      </c>
      <c r="BA88" s="3"/>
      <c r="BB88" s="3"/>
      <c r="BC88" s="3"/>
      <c r="BD88" s="3"/>
      <c r="BE88" s="3"/>
      <c r="BF88" s="3"/>
      <c r="BG88" s="3"/>
      <c r="BH88" s="3">
        <v>10</v>
      </c>
      <c r="BI88" s="3">
        <v>0</v>
      </c>
      <c r="BJ88" s="3">
        <v>9.35</v>
      </c>
      <c r="BK88" s="3">
        <v>12.5</v>
      </c>
      <c r="BL88" s="3">
        <v>347.49034749034746</v>
      </c>
      <c r="BM88" s="3">
        <v>9652.5096525096524</v>
      </c>
      <c r="BN88" s="5">
        <v>2026</v>
      </c>
      <c r="BO88" s="3" t="s">
        <v>134</v>
      </c>
      <c r="BP88" s="3" t="s">
        <v>135</v>
      </c>
      <c r="BQ88" s="3" t="s">
        <v>296</v>
      </c>
      <c r="BR88" s="3" t="s">
        <v>137</v>
      </c>
      <c r="BS88" s="3" t="s">
        <v>297</v>
      </c>
      <c r="BT88" s="3" t="s">
        <v>213</v>
      </c>
      <c r="BU88" s="3" t="s">
        <v>140</v>
      </c>
      <c r="BV88" s="3" t="s">
        <v>141</v>
      </c>
      <c r="BW88" s="3">
        <v>2</v>
      </c>
      <c r="BX88" s="3" t="s">
        <v>298</v>
      </c>
      <c r="BY88" s="3" t="s">
        <v>299</v>
      </c>
    </row>
    <row r="89" spans="1:77">
      <c r="A89" s="3" t="s">
        <v>316</v>
      </c>
      <c r="B89" s="4">
        <v>46162.416666666664</v>
      </c>
      <c r="C89" s="5">
        <v>192</v>
      </c>
      <c r="D89" s="5">
        <v>15</v>
      </c>
      <c r="E89" s="5">
        <v>998.3</v>
      </c>
      <c r="F89" s="5">
        <v>114.13</v>
      </c>
      <c r="G89" s="5"/>
      <c r="H89" s="5">
        <v>0.25</v>
      </c>
      <c r="I89" s="5">
        <v>3</v>
      </c>
      <c r="J89" s="5">
        <v>20</v>
      </c>
      <c r="K89" s="5">
        <v>0</v>
      </c>
      <c r="L89" s="5">
        <v>20</v>
      </c>
      <c r="M89" s="5">
        <v>5.66</v>
      </c>
      <c r="N89" s="5">
        <v>38</v>
      </c>
      <c r="O89" s="3"/>
      <c r="P89" s="5"/>
      <c r="Q89" s="5"/>
      <c r="R89" s="3"/>
      <c r="S89" s="3"/>
      <c r="T89" s="3"/>
      <c r="U89" s="3"/>
      <c r="V89" s="3"/>
      <c r="W89" s="3"/>
      <c r="X89" s="3"/>
      <c r="Y89" s="3"/>
      <c r="Z89" s="3"/>
      <c r="AA89" s="3" t="s">
        <v>40</v>
      </c>
      <c r="AB89" s="3">
        <v>46162.416666666664</v>
      </c>
      <c r="AC89" s="3" t="s">
        <v>239</v>
      </c>
      <c r="AD89" s="3" t="s">
        <v>29</v>
      </c>
      <c r="AE89" s="5" t="s">
        <v>176</v>
      </c>
      <c r="AF89" s="5" t="s">
        <v>292</v>
      </c>
      <c r="AG89" s="3"/>
      <c r="AH89" s="3"/>
      <c r="AI89" s="3"/>
      <c r="AJ89" s="3"/>
      <c r="AK89" s="3">
        <v>0</v>
      </c>
      <c r="AL89" s="3">
        <v>2.98</v>
      </c>
      <c r="AM89" s="3">
        <v>0.54</v>
      </c>
      <c r="AN89" s="3">
        <v>114.36</v>
      </c>
      <c r="AO89" s="3">
        <v>16.920000000000002</v>
      </c>
      <c r="AP89" s="3">
        <v>3.25</v>
      </c>
      <c r="AQ89" s="3">
        <v>0.46</v>
      </c>
      <c r="AR89" s="3"/>
      <c r="AS89" s="3"/>
      <c r="AT89" s="5" t="s">
        <v>125</v>
      </c>
      <c r="AU89" s="3" t="s">
        <v>317</v>
      </c>
      <c r="AV89" s="3" t="s">
        <v>127</v>
      </c>
      <c r="AW89" s="3">
        <v>50</v>
      </c>
      <c r="AX89" s="3" t="s">
        <v>128</v>
      </c>
      <c r="AY89" s="3" t="s">
        <v>310</v>
      </c>
      <c r="AZ89" s="3" t="s">
        <v>295</v>
      </c>
      <c r="BA89" s="3"/>
      <c r="BB89" s="3"/>
      <c r="BC89" s="3" t="s">
        <v>131</v>
      </c>
      <c r="BD89" s="3" t="s">
        <v>131</v>
      </c>
      <c r="BE89" s="3" t="s">
        <v>133</v>
      </c>
      <c r="BF89" s="3"/>
      <c r="BG89" s="3"/>
      <c r="BH89" s="3">
        <v>10</v>
      </c>
      <c r="BI89" s="3">
        <v>0</v>
      </c>
      <c r="BJ89" s="3">
        <v>10.139999999999999</v>
      </c>
      <c r="BK89" s="3">
        <v>12.5</v>
      </c>
      <c r="BL89" s="3">
        <v>262.63075895837977</v>
      </c>
      <c r="BM89" s="3">
        <v>9737.3692410416206</v>
      </c>
      <c r="BN89" s="5">
        <v>2026</v>
      </c>
      <c r="BO89" s="3" t="s">
        <v>134</v>
      </c>
      <c r="BP89" s="3" t="s">
        <v>135</v>
      </c>
      <c r="BQ89" s="3" t="s">
        <v>296</v>
      </c>
      <c r="BR89" s="3" t="s">
        <v>137</v>
      </c>
      <c r="BS89" s="3" t="s">
        <v>297</v>
      </c>
      <c r="BT89" s="3" t="s">
        <v>213</v>
      </c>
      <c r="BU89" s="3" t="s">
        <v>140</v>
      </c>
      <c r="BV89" s="3" t="s">
        <v>141</v>
      </c>
      <c r="BW89" s="3">
        <v>2</v>
      </c>
      <c r="BX89" s="3" t="s">
        <v>298</v>
      </c>
      <c r="BY89" s="3" t="s">
        <v>299</v>
      </c>
    </row>
    <row r="90" spans="1:77">
      <c r="A90" s="3" t="s">
        <v>318</v>
      </c>
      <c r="B90" s="4">
        <v>46154.625</v>
      </c>
      <c r="C90" s="5">
        <v>5</v>
      </c>
      <c r="D90" s="5">
        <v>18</v>
      </c>
      <c r="E90" s="5">
        <v>1066.5</v>
      </c>
      <c r="F90" s="5">
        <v>35.520000000000003</v>
      </c>
      <c r="G90" s="5"/>
      <c r="H90" s="5">
        <v>75.61</v>
      </c>
      <c r="I90" s="5">
        <v>76.67</v>
      </c>
      <c r="J90" s="5">
        <v>112</v>
      </c>
      <c r="K90" s="5">
        <v>132</v>
      </c>
      <c r="L90" s="5">
        <v>220.24</v>
      </c>
      <c r="M90" s="5">
        <v>1.25</v>
      </c>
      <c r="N90" s="5">
        <v>0</v>
      </c>
      <c r="O90" s="3"/>
      <c r="P90" s="5"/>
      <c r="Q90" s="5"/>
      <c r="R90" s="3" t="s">
        <v>290</v>
      </c>
      <c r="S90" s="3"/>
      <c r="T90" s="3"/>
      <c r="U90" s="3"/>
      <c r="V90" s="3"/>
      <c r="W90" s="3"/>
      <c r="X90" s="3"/>
      <c r="Y90" s="3"/>
      <c r="Z90" s="3"/>
      <c r="AA90" s="3" t="s">
        <v>41</v>
      </c>
      <c r="AB90" s="3" t="s">
        <v>291</v>
      </c>
      <c r="AC90" s="3" t="s">
        <v>187</v>
      </c>
      <c r="AD90" s="3" t="s">
        <v>29</v>
      </c>
      <c r="AE90" s="5" t="s">
        <v>176</v>
      </c>
      <c r="AF90" s="5" t="s">
        <v>319</v>
      </c>
      <c r="AG90" s="3"/>
      <c r="AH90" s="3" t="s">
        <v>320</v>
      </c>
      <c r="AI90" s="3">
        <v>0</v>
      </c>
      <c r="AJ90" s="3" t="s">
        <v>124</v>
      </c>
      <c r="AK90" s="3">
        <v>16.8</v>
      </c>
      <c r="AL90" s="3">
        <v>3.17</v>
      </c>
      <c r="AM90" s="3">
        <v>11.02</v>
      </c>
      <c r="AN90" s="3">
        <v>36.79</v>
      </c>
      <c r="AO90" s="3">
        <v>10.75</v>
      </c>
      <c r="AP90" s="3">
        <v>152.28</v>
      </c>
      <c r="AQ90" s="3">
        <v>0.17</v>
      </c>
      <c r="AR90" s="3"/>
      <c r="AS90" s="3"/>
      <c r="AT90" s="5" t="s">
        <v>125</v>
      </c>
      <c r="AU90" s="3" t="s">
        <v>126</v>
      </c>
      <c r="AV90" s="3" t="s">
        <v>127</v>
      </c>
      <c r="AW90" s="3">
        <v>50</v>
      </c>
      <c r="AX90" s="3" t="s">
        <v>128</v>
      </c>
      <c r="AY90" s="3" t="s">
        <v>294</v>
      </c>
      <c r="AZ90" s="3" t="s">
        <v>295</v>
      </c>
      <c r="BA90" s="3"/>
      <c r="BB90" s="3"/>
      <c r="BC90" s="3" t="s">
        <v>250</v>
      </c>
      <c r="BD90" s="3" t="s">
        <v>243</v>
      </c>
      <c r="BE90" s="3" t="s">
        <v>244</v>
      </c>
      <c r="BF90" s="3"/>
      <c r="BG90" s="3"/>
      <c r="BH90" s="3">
        <v>10</v>
      </c>
      <c r="BI90" s="3">
        <v>0</v>
      </c>
      <c r="BJ90" s="3">
        <v>1.18</v>
      </c>
      <c r="BK90" s="3">
        <v>12.5</v>
      </c>
      <c r="BL90" s="3">
        <v>1145.517101801255</v>
      </c>
      <c r="BM90" s="3">
        <v>8854.4828981987448</v>
      </c>
      <c r="BN90" s="5">
        <v>2026</v>
      </c>
      <c r="BO90" s="3" t="s">
        <v>134</v>
      </c>
      <c r="BP90" s="3" t="s">
        <v>135</v>
      </c>
      <c r="BQ90" s="3" t="s">
        <v>296</v>
      </c>
      <c r="BR90" s="3" t="s">
        <v>191</v>
      </c>
      <c r="BS90" s="3" t="s">
        <v>321</v>
      </c>
      <c r="BT90" s="3" t="s">
        <v>213</v>
      </c>
      <c r="BU90" s="3" t="s">
        <v>140</v>
      </c>
      <c r="BV90" s="3" t="s">
        <v>141</v>
      </c>
      <c r="BW90" s="3">
        <v>2</v>
      </c>
      <c r="BX90" s="3" t="s">
        <v>322</v>
      </c>
      <c r="BY90" s="3" t="s">
        <v>323</v>
      </c>
    </row>
    <row r="91" spans="1:77">
      <c r="A91" s="3" t="s">
        <v>324</v>
      </c>
      <c r="B91" s="4">
        <v>46155.416666666664</v>
      </c>
      <c r="C91" s="5">
        <v>24</v>
      </c>
      <c r="D91" s="5">
        <v>18</v>
      </c>
      <c r="E91" s="5">
        <v>1067.2</v>
      </c>
      <c r="F91" s="5">
        <v>25.12</v>
      </c>
      <c r="G91" s="5"/>
      <c r="H91" s="5">
        <v>68.25</v>
      </c>
      <c r="I91" s="5">
        <v>88.240000000000009</v>
      </c>
      <c r="J91" s="5">
        <v>115</v>
      </c>
      <c r="K91" s="5">
        <v>132</v>
      </c>
      <c r="L91" s="5">
        <v>223.24</v>
      </c>
      <c r="M91" s="5">
        <v>1.32</v>
      </c>
      <c r="N91" s="5">
        <v>4</v>
      </c>
      <c r="O91" s="3"/>
      <c r="P91" s="5"/>
      <c r="Q91" s="5"/>
      <c r="R91" s="3"/>
      <c r="S91" s="3"/>
      <c r="T91" s="3"/>
      <c r="U91" s="3"/>
      <c r="V91" s="3"/>
      <c r="W91" s="3"/>
      <c r="X91" s="3"/>
      <c r="Y91" s="3"/>
      <c r="Z91" s="3"/>
      <c r="AA91" s="3" t="s">
        <v>41</v>
      </c>
      <c r="AB91" s="3">
        <v>46155.416666666664</v>
      </c>
      <c r="AC91" s="3" t="s">
        <v>239</v>
      </c>
      <c r="AD91" s="3" t="s">
        <v>29</v>
      </c>
      <c r="AE91" s="5" t="s">
        <v>176</v>
      </c>
      <c r="AF91" s="5" t="s">
        <v>319</v>
      </c>
      <c r="AG91" s="3"/>
      <c r="AH91" s="3"/>
      <c r="AI91" s="3"/>
      <c r="AJ91" s="3"/>
      <c r="AK91" s="3">
        <v>16.899999999999999</v>
      </c>
      <c r="AL91" s="3">
        <v>3.14</v>
      </c>
      <c r="AM91" s="3">
        <v>1.39</v>
      </c>
      <c r="AN91" s="3">
        <v>25.42</v>
      </c>
      <c r="AO91" s="3">
        <v>18.43</v>
      </c>
      <c r="AP91" s="3">
        <v>156.49</v>
      </c>
      <c r="AQ91" s="3">
        <v>0.2</v>
      </c>
      <c r="AR91" s="3"/>
      <c r="AS91" s="3"/>
      <c r="AT91" s="5" t="s">
        <v>146</v>
      </c>
      <c r="AU91" s="3" t="s">
        <v>147</v>
      </c>
      <c r="AV91" s="3" t="s">
        <v>127</v>
      </c>
      <c r="AW91" s="3">
        <v>15</v>
      </c>
      <c r="AX91" s="3" t="s">
        <v>148</v>
      </c>
      <c r="AY91" s="3" t="s">
        <v>301</v>
      </c>
      <c r="AZ91" s="3" t="s">
        <v>295</v>
      </c>
      <c r="BA91" s="3"/>
      <c r="BB91" s="3"/>
      <c r="BC91" s="3"/>
      <c r="BD91" s="3"/>
      <c r="BE91" s="3"/>
      <c r="BF91" s="3"/>
      <c r="BG91" s="3"/>
      <c r="BH91" s="3">
        <v>10</v>
      </c>
      <c r="BI91" s="3">
        <v>0</v>
      </c>
      <c r="BJ91" s="3">
        <v>1.28</v>
      </c>
      <c r="BK91" s="3">
        <v>12.5</v>
      </c>
      <c r="BL91" s="3">
        <v>1136.5478119935171</v>
      </c>
      <c r="BM91" s="3">
        <v>8863.4521880064822</v>
      </c>
      <c r="BN91" s="5">
        <v>2026</v>
      </c>
      <c r="BO91" s="3" t="s">
        <v>134</v>
      </c>
      <c r="BP91" s="3" t="s">
        <v>135</v>
      </c>
      <c r="BQ91" s="3" t="s">
        <v>296</v>
      </c>
      <c r="BR91" s="3" t="s">
        <v>191</v>
      </c>
      <c r="BS91" s="3" t="s">
        <v>321</v>
      </c>
      <c r="BT91" s="3" t="s">
        <v>213</v>
      </c>
      <c r="BU91" s="3" t="s">
        <v>140</v>
      </c>
      <c r="BV91" s="3" t="s">
        <v>141</v>
      </c>
      <c r="BW91" s="3">
        <v>2</v>
      </c>
      <c r="BX91" s="3" t="s">
        <v>322</v>
      </c>
      <c r="BY91" s="3" t="s">
        <v>323</v>
      </c>
    </row>
    <row r="92" spans="1:77">
      <c r="A92" s="3" t="s">
        <v>325</v>
      </c>
      <c r="B92" s="4">
        <v>46156.416666666664</v>
      </c>
      <c r="C92" s="5">
        <v>48</v>
      </c>
      <c r="D92" s="5">
        <v>15</v>
      </c>
      <c r="E92" s="5">
        <v>1063.5999999999999</v>
      </c>
      <c r="F92" s="5">
        <v>32.57</v>
      </c>
      <c r="G92" s="5"/>
      <c r="H92" s="5"/>
      <c r="I92" s="5">
        <v>0</v>
      </c>
      <c r="J92" s="5"/>
      <c r="K92" s="5"/>
      <c r="L92" s="5"/>
      <c r="M92" s="5"/>
      <c r="N92" s="5"/>
      <c r="O92" s="3"/>
      <c r="P92" s="5"/>
      <c r="Q92" s="5"/>
      <c r="R92" s="3"/>
      <c r="S92" s="3"/>
      <c r="T92" s="3"/>
      <c r="U92" s="3"/>
      <c r="V92" s="3"/>
      <c r="W92" s="3"/>
      <c r="X92" s="3"/>
      <c r="Y92" s="3"/>
      <c r="Z92" s="3"/>
      <c r="AA92" s="3" t="s">
        <v>41</v>
      </c>
      <c r="AB92" s="3">
        <v>46156.416666666664</v>
      </c>
      <c r="AC92" s="3" t="s">
        <v>239</v>
      </c>
      <c r="AD92" s="3" t="s">
        <v>29</v>
      </c>
      <c r="AE92" s="5" t="s">
        <v>176</v>
      </c>
      <c r="AF92" s="5" t="s">
        <v>326</v>
      </c>
      <c r="AG92" s="3"/>
      <c r="AH92" s="3"/>
      <c r="AI92" s="3"/>
      <c r="AJ92" s="3"/>
      <c r="AK92" s="3">
        <v>16</v>
      </c>
      <c r="AL92" s="3">
        <v>3.1</v>
      </c>
      <c r="AM92" s="3">
        <v>1.76</v>
      </c>
      <c r="AN92" s="3">
        <v>32.799999999999997</v>
      </c>
      <c r="AO92" s="3">
        <v>26.93</v>
      </c>
      <c r="AP92" s="3"/>
      <c r="AQ92" s="3"/>
      <c r="AR92" s="3"/>
      <c r="AS92" s="3"/>
      <c r="AT92" s="5" t="s">
        <v>146</v>
      </c>
      <c r="AU92" s="3" t="s">
        <v>178</v>
      </c>
      <c r="AV92" s="3" t="s">
        <v>127</v>
      </c>
      <c r="AW92" s="3">
        <v>15</v>
      </c>
      <c r="AX92" s="3" t="s">
        <v>148</v>
      </c>
      <c r="AY92" s="3" t="s">
        <v>301</v>
      </c>
      <c r="AZ92" s="3" t="s">
        <v>295</v>
      </c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5">
        <v>2026</v>
      </c>
      <c r="BO92" s="3" t="s">
        <v>134</v>
      </c>
      <c r="BP92" s="3" t="s">
        <v>135</v>
      </c>
      <c r="BQ92" s="3" t="s">
        <v>296</v>
      </c>
      <c r="BR92" s="3" t="s">
        <v>191</v>
      </c>
      <c r="BS92" s="3" t="s">
        <v>321</v>
      </c>
      <c r="BT92" s="3" t="s">
        <v>213</v>
      </c>
      <c r="BU92" s="3" t="s">
        <v>140</v>
      </c>
      <c r="BV92" s="3" t="s">
        <v>141</v>
      </c>
      <c r="BW92" s="3">
        <v>2</v>
      </c>
      <c r="BX92" s="3" t="s">
        <v>322</v>
      </c>
      <c r="BY92" s="3" t="s">
        <v>323</v>
      </c>
    </row>
    <row r="93" spans="1:77">
      <c r="A93" s="3" t="s">
        <v>327</v>
      </c>
      <c r="B93" s="4">
        <v>46156.625</v>
      </c>
      <c r="C93" s="5">
        <v>53</v>
      </c>
      <c r="D93" s="5">
        <v>15</v>
      </c>
      <c r="E93" s="5">
        <v>1065.4000000000001</v>
      </c>
      <c r="F93" s="5">
        <v>24.96</v>
      </c>
      <c r="G93" s="5"/>
      <c r="H93" s="5"/>
      <c r="I93" s="5">
        <v>0</v>
      </c>
      <c r="J93" s="5"/>
      <c r="K93" s="5"/>
      <c r="L93" s="5"/>
      <c r="M93" s="5"/>
      <c r="N93" s="5"/>
      <c r="O93" s="3"/>
      <c r="P93" s="5"/>
      <c r="Q93" s="5"/>
      <c r="R93" s="3"/>
      <c r="S93" s="3"/>
      <c r="T93" s="3"/>
      <c r="U93" s="3"/>
      <c r="V93" s="3"/>
      <c r="W93" s="3"/>
      <c r="X93" s="3"/>
      <c r="Y93" s="3"/>
      <c r="Z93" s="3"/>
      <c r="AA93" s="3" t="s">
        <v>41</v>
      </c>
      <c r="AB93" s="3" t="s">
        <v>328</v>
      </c>
      <c r="AC93" s="3" t="s">
        <v>187</v>
      </c>
      <c r="AD93" s="3" t="s">
        <v>29</v>
      </c>
      <c r="AE93" s="5" t="s">
        <v>176</v>
      </c>
      <c r="AF93" s="5" t="s">
        <v>326</v>
      </c>
      <c r="AG93" s="3"/>
      <c r="AH93" s="3"/>
      <c r="AI93" s="3"/>
      <c r="AJ93" s="3"/>
      <c r="AK93" s="3">
        <v>16.5</v>
      </c>
      <c r="AL93" s="3">
        <v>3.13</v>
      </c>
      <c r="AM93" s="3">
        <v>2.72</v>
      </c>
      <c r="AN93" s="3">
        <v>25.19</v>
      </c>
      <c r="AO93" s="3">
        <v>24.7</v>
      </c>
      <c r="AP93" s="3"/>
      <c r="AQ93" s="3"/>
      <c r="AR93" s="3"/>
      <c r="AS93" s="3"/>
      <c r="AT93" s="5" t="s">
        <v>125</v>
      </c>
      <c r="AU93" s="3" t="s">
        <v>329</v>
      </c>
      <c r="AV93" s="3" t="s">
        <v>127</v>
      </c>
      <c r="AW93" s="3">
        <v>50</v>
      </c>
      <c r="AX93" s="3" t="s">
        <v>128</v>
      </c>
      <c r="AY93" s="3" t="s">
        <v>294</v>
      </c>
      <c r="AZ93" s="3" t="s">
        <v>295</v>
      </c>
      <c r="BA93" s="3"/>
      <c r="BB93" s="3"/>
      <c r="BC93" s="3" t="s">
        <v>250</v>
      </c>
      <c r="BD93" s="3" t="s">
        <v>243</v>
      </c>
      <c r="BE93" s="3" t="s">
        <v>244</v>
      </c>
      <c r="BF93" s="3"/>
      <c r="BG93" s="3"/>
      <c r="BH93" s="3"/>
      <c r="BI93" s="3"/>
      <c r="BJ93" s="3"/>
      <c r="BK93" s="3"/>
      <c r="BL93" s="3"/>
      <c r="BM93" s="3"/>
      <c r="BN93" s="5">
        <v>2026</v>
      </c>
      <c r="BO93" s="3" t="s">
        <v>134</v>
      </c>
      <c r="BP93" s="3" t="s">
        <v>135</v>
      </c>
      <c r="BQ93" s="3" t="s">
        <v>296</v>
      </c>
      <c r="BR93" s="3" t="s">
        <v>191</v>
      </c>
      <c r="BS93" s="3" t="s">
        <v>321</v>
      </c>
      <c r="BT93" s="3" t="s">
        <v>213</v>
      </c>
      <c r="BU93" s="3" t="s">
        <v>140</v>
      </c>
      <c r="BV93" s="3" t="s">
        <v>141</v>
      </c>
      <c r="BW93" s="3">
        <v>2</v>
      </c>
      <c r="BX93" s="3" t="s">
        <v>322</v>
      </c>
      <c r="BY93" s="3" t="s">
        <v>323</v>
      </c>
    </row>
    <row r="94" spans="1:77">
      <c r="A94" s="3" t="s">
        <v>330</v>
      </c>
      <c r="B94" s="4">
        <v>46156.625</v>
      </c>
      <c r="C94" s="5">
        <v>53</v>
      </c>
      <c r="D94" s="5">
        <v>15</v>
      </c>
      <c r="E94" s="5">
        <v>1062.8</v>
      </c>
      <c r="F94" s="5">
        <v>35.83</v>
      </c>
      <c r="G94" s="5"/>
      <c r="H94" s="5">
        <v>62.97</v>
      </c>
      <c r="I94" s="5">
        <v>81.41</v>
      </c>
      <c r="J94" s="5">
        <v>87</v>
      </c>
      <c r="K94" s="5">
        <v>114</v>
      </c>
      <c r="L94" s="5">
        <v>180.48</v>
      </c>
      <c r="M94" s="5">
        <v>1.92</v>
      </c>
      <c r="N94" s="5">
        <v>43</v>
      </c>
      <c r="O94" s="3"/>
      <c r="P94" s="5"/>
      <c r="Q94" s="5"/>
      <c r="R94" s="3"/>
      <c r="S94" s="3"/>
      <c r="T94" s="3"/>
      <c r="U94" s="3"/>
      <c r="V94" s="3"/>
      <c r="W94" s="3"/>
      <c r="X94" s="3"/>
      <c r="Y94" s="3"/>
      <c r="Z94" s="3"/>
      <c r="AA94" s="3" t="s">
        <v>41</v>
      </c>
      <c r="AB94" s="3" t="s">
        <v>328</v>
      </c>
      <c r="AC94" s="3" t="s">
        <v>187</v>
      </c>
      <c r="AD94" s="3" t="s">
        <v>29</v>
      </c>
      <c r="AE94" s="5" t="s">
        <v>176</v>
      </c>
      <c r="AF94" s="5" t="s">
        <v>326</v>
      </c>
      <c r="AG94" s="3"/>
      <c r="AH94" s="3"/>
      <c r="AI94" s="3"/>
      <c r="AJ94" s="3"/>
      <c r="AK94" s="3">
        <v>15.9</v>
      </c>
      <c r="AL94" s="3">
        <v>3.03</v>
      </c>
      <c r="AM94" s="3">
        <v>1.74</v>
      </c>
      <c r="AN94" s="3">
        <v>36.14</v>
      </c>
      <c r="AO94" s="3">
        <v>21.25</v>
      </c>
      <c r="AP94" s="3">
        <v>144.38</v>
      </c>
      <c r="AQ94" s="3">
        <v>0.31</v>
      </c>
      <c r="AR94" s="3"/>
      <c r="AS94" s="3"/>
      <c r="AT94" s="5" t="s">
        <v>125</v>
      </c>
      <c r="AU94" s="3" t="s">
        <v>331</v>
      </c>
      <c r="AV94" s="3" t="s">
        <v>127</v>
      </c>
      <c r="AW94" s="3">
        <v>50</v>
      </c>
      <c r="AX94" s="3" t="s">
        <v>128</v>
      </c>
      <c r="AY94" s="3" t="s">
        <v>310</v>
      </c>
      <c r="AZ94" s="3" t="s">
        <v>295</v>
      </c>
      <c r="BA94" s="3"/>
      <c r="BB94" s="3"/>
      <c r="BC94" s="3" t="s">
        <v>131</v>
      </c>
      <c r="BD94" s="3" t="s">
        <v>243</v>
      </c>
      <c r="BE94" s="3" t="s">
        <v>133</v>
      </c>
      <c r="BF94" s="3"/>
      <c r="BG94" s="3"/>
      <c r="BH94" s="3">
        <v>10</v>
      </c>
      <c r="BI94" s="3">
        <v>0</v>
      </c>
      <c r="BJ94" s="3">
        <v>1.82</v>
      </c>
      <c r="BK94" s="3">
        <v>12.5</v>
      </c>
      <c r="BL94" s="3">
        <v>1087.797922183744</v>
      </c>
      <c r="BM94" s="3">
        <v>8912.202077816255</v>
      </c>
      <c r="BN94" s="5">
        <v>2026</v>
      </c>
      <c r="BO94" s="3" t="s">
        <v>134</v>
      </c>
      <c r="BP94" s="3" t="s">
        <v>135</v>
      </c>
      <c r="BQ94" s="3" t="s">
        <v>296</v>
      </c>
      <c r="BR94" s="3" t="s">
        <v>191</v>
      </c>
      <c r="BS94" s="3" t="s">
        <v>321</v>
      </c>
      <c r="BT94" s="3" t="s">
        <v>213</v>
      </c>
      <c r="BU94" s="3" t="s">
        <v>140</v>
      </c>
      <c r="BV94" s="3" t="s">
        <v>141</v>
      </c>
      <c r="BW94" s="3">
        <v>2</v>
      </c>
      <c r="BX94" s="3" t="s">
        <v>322</v>
      </c>
      <c r="BY94" s="3" t="s">
        <v>323</v>
      </c>
    </row>
    <row r="95" spans="1:77">
      <c r="A95" s="3" t="s">
        <v>332</v>
      </c>
      <c r="B95" s="4">
        <v>46157.416666666664</v>
      </c>
      <c r="C95" s="5">
        <v>72</v>
      </c>
      <c r="D95" s="5">
        <v>15</v>
      </c>
      <c r="E95" s="5">
        <v>1056.2</v>
      </c>
      <c r="F95" s="5">
        <v>45.81</v>
      </c>
      <c r="G95" s="5"/>
      <c r="H95" s="5">
        <v>53.99</v>
      </c>
      <c r="I95" s="5">
        <v>79.009999999999991</v>
      </c>
      <c r="J95" s="5">
        <v>63</v>
      </c>
      <c r="K95" s="5">
        <v>67</v>
      </c>
      <c r="L95" s="5">
        <v>117.94</v>
      </c>
      <c r="M95" s="5">
        <v>2.34</v>
      </c>
      <c r="N95" s="5">
        <v>40</v>
      </c>
      <c r="O95" s="3"/>
      <c r="P95" s="5"/>
      <c r="Q95" s="5"/>
      <c r="R95" s="3" t="s">
        <v>290</v>
      </c>
      <c r="S95" s="3"/>
      <c r="T95" s="3"/>
      <c r="U95" s="3"/>
      <c r="V95" s="3"/>
      <c r="W95" s="3"/>
      <c r="X95" s="3"/>
      <c r="Y95" s="3"/>
      <c r="Z95" s="3"/>
      <c r="AA95" s="3" t="s">
        <v>41</v>
      </c>
      <c r="AB95" s="3">
        <v>46157.416666666664</v>
      </c>
      <c r="AC95" s="3" t="s">
        <v>239</v>
      </c>
      <c r="AD95" s="3" t="s">
        <v>29</v>
      </c>
      <c r="AE95" s="5" t="s">
        <v>176</v>
      </c>
      <c r="AF95" s="5" t="s">
        <v>326</v>
      </c>
      <c r="AG95" s="3"/>
      <c r="AH95" s="3" t="s">
        <v>333</v>
      </c>
      <c r="AI95" s="3">
        <v>72</v>
      </c>
      <c r="AJ95" s="3" t="s">
        <v>163</v>
      </c>
      <c r="AK95" s="3">
        <v>14.3</v>
      </c>
      <c r="AL95" s="3">
        <v>3.05</v>
      </c>
      <c r="AM95" s="3">
        <v>0.41</v>
      </c>
      <c r="AN95" s="3">
        <v>46.24</v>
      </c>
      <c r="AO95" s="3">
        <v>23.34</v>
      </c>
      <c r="AP95" s="3">
        <v>133</v>
      </c>
      <c r="AQ95" s="3">
        <v>0.23</v>
      </c>
      <c r="AR95" s="3"/>
      <c r="AS95" s="3"/>
      <c r="AT95" s="5" t="s">
        <v>125</v>
      </c>
      <c r="AU95" s="3" t="s">
        <v>334</v>
      </c>
      <c r="AV95" s="3" t="s">
        <v>127</v>
      </c>
      <c r="AW95" s="3">
        <v>50</v>
      </c>
      <c r="AX95" s="3" t="s">
        <v>128</v>
      </c>
      <c r="AY95" s="3" t="s">
        <v>294</v>
      </c>
      <c r="AZ95" s="3" t="s">
        <v>295</v>
      </c>
      <c r="BA95" s="3"/>
      <c r="BB95" s="3"/>
      <c r="BC95" s="3" t="s">
        <v>250</v>
      </c>
      <c r="BD95" s="3" t="s">
        <v>243</v>
      </c>
      <c r="BE95" s="3" t="s">
        <v>244</v>
      </c>
      <c r="BF95" s="3"/>
      <c r="BG95" s="3"/>
      <c r="BH95" s="3">
        <v>10</v>
      </c>
      <c r="BI95" s="3">
        <v>0</v>
      </c>
      <c r="BJ95" s="3">
        <v>2.4500000000000002</v>
      </c>
      <c r="BK95" s="3">
        <v>12.5</v>
      </c>
      <c r="BL95" s="3">
        <v>1030.2409021014864</v>
      </c>
      <c r="BM95" s="3">
        <v>8969.7590978985136</v>
      </c>
      <c r="BN95" s="5">
        <v>2026</v>
      </c>
      <c r="BO95" s="3" t="s">
        <v>134</v>
      </c>
      <c r="BP95" s="3" t="s">
        <v>135</v>
      </c>
      <c r="BQ95" s="3" t="s">
        <v>296</v>
      </c>
      <c r="BR95" s="3" t="s">
        <v>191</v>
      </c>
      <c r="BS95" s="3" t="s">
        <v>321</v>
      </c>
      <c r="BT95" s="3" t="s">
        <v>213</v>
      </c>
      <c r="BU95" s="3" t="s">
        <v>140</v>
      </c>
      <c r="BV95" s="3" t="s">
        <v>141</v>
      </c>
      <c r="BW95" s="3">
        <v>2</v>
      </c>
      <c r="BX95" s="3" t="s">
        <v>322</v>
      </c>
      <c r="BY95" s="3" t="s">
        <v>323</v>
      </c>
    </row>
    <row r="96" spans="1:77">
      <c r="A96" s="3" t="s">
        <v>335</v>
      </c>
      <c r="B96" s="4">
        <v>46160.416666666664</v>
      </c>
      <c r="C96" s="5">
        <v>144</v>
      </c>
      <c r="D96" s="5">
        <v>21</v>
      </c>
      <c r="E96" s="5">
        <v>997.4</v>
      </c>
      <c r="F96" s="5">
        <v>82.57</v>
      </c>
      <c r="G96" s="5"/>
      <c r="H96" s="5"/>
      <c r="I96" s="5">
        <v>0</v>
      </c>
      <c r="J96" s="5"/>
      <c r="K96" s="5"/>
      <c r="L96" s="5"/>
      <c r="M96" s="5"/>
      <c r="N96" s="5"/>
      <c r="O96" s="3"/>
      <c r="P96" s="5"/>
      <c r="Q96" s="5"/>
      <c r="R96" s="3"/>
      <c r="S96" s="3"/>
      <c r="T96" s="3"/>
      <c r="U96" s="3"/>
      <c r="V96" s="3"/>
      <c r="W96" s="3"/>
      <c r="X96" s="3"/>
      <c r="Y96" s="3"/>
      <c r="Z96" s="3"/>
      <c r="AA96" s="3" t="s">
        <v>41</v>
      </c>
      <c r="AB96" s="3">
        <v>46160.416666666664</v>
      </c>
      <c r="AC96" s="3" t="s">
        <v>239</v>
      </c>
      <c r="AD96" s="3" t="s">
        <v>29</v>
      </c>
      <c r="AE96" s="5" t="s">
        <v>176</v>
      </c>
      <c r="AF96" s="5" t="s">
        <v>336</v>
      </c>
      <c r="AG96" s="3"/>
      <c r="AH96" s="3"/>
      <c r="AI96" s="3"/>
      <c r="AJ96" s="3"/>
      <c r="AK96" s="3">
        <v>0</v>
      </c>
      <c r="AL96" s="3">
        <v>3.07</v>
      </c>
      <c r="AM96" s="3">
        <v>0.91</v>
      </c>
      <c r="AN96" s="3">
        <v>83.18</v>
      </c>
      <c r="AO96" s="3">
        <v>17.73</v>
      </c>
      <c r="AP96" s="3"/>
      <c r="AQ96" s="3"/>
      <c r="AR96" s="3"/>
      <c r="AS96" s="3"/>
      <c r="AT96" s="5" t="s">
        <v>146</v>
      </c>
      <c r="AU96" s="3" t="s">
        <v>337</v>
      </c>
      <c r="AV96" s="3" t="s">
        <v>127</v>
      </c>
      <c r="AW96" s="3">
        <v>15</v>
      </c>
      <c r="AX96" s="3" t="s">
        <v>148</v>
      </c>
      <c r="AY96" s="3" t="s">
        <v>301</v>
      </c>
      <c r="AZ96" s="3" t="s">
        <v>295</v>
      </c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5">
        <v>2026</v>
      </c>
      <c r="BO96" s="3" t="s">
        <v>134</v>
      </c>
      <c r="BP96" s="3" t="s">
        <v>135</v>
      </c>
      <c r="BQ96" s="3" t="s">
        <v>296</v>
      </c>
      <c r="BR96" s="3" t="s">
        <v>191</v>
      </c>
      <c r="BS96" s="3" t="s">
        <v>321</v>
      </c>
      <c r="BT96" s="3" t="s">
        <v>213</v>
      </c>
      <c r="BU96" s="3" t="s">
        <v>140</v>
      </c>
      <c r="BV96" s="3" t="s">
        <v>141</v>
      </c>
      <c r="BW96" s="3">
        <v>2</v>
      </c>
      <c r="BX96" s="3" t="s">
        <v>322</v>
      </c>
      <c r="BY96" s="3" t="s">
        <v>323</v>
      </c>
    </row>
    <row r="97" spans="1:77">
      <c r="A97" s="3" t="s">
        <v>338</v>
      </c>
      <c r="B97" s="4">
        <v>46161.416666666664</v>
      </c>
      <c r="C97" s="5">
        <v>168</v>
      </c>
      <c r="D97" s="5">
        <v>21</v>
      </c>
      <c r="E97" s="5">
        <v>996.1</v>
      </c>
      <c r="F97" s="5">
        <v>95.7</v>
      </c>
      <c r="G97" s="5"/>
      <c r="H97" s="5">
        <v>0.02</v>
      </c>
      <c r="I97" s="5">
        <v>0.12000000000000001</v>
      </c>
      <c r="J97" s="5">
        <v>24</v>
      </c>
      <c r="K97" s="5">
        <v>2</v>
      </c>
      <c r="L97" s="5">
        <v>25.64</v>
      </c>
      <c r="M97" s="5">
        <v>5.75</v>
      </c>
      <c r="N97" s="5">
        <v>29</v>
      </c>
      <c r="O97" s="3"/>
      <c r="P97" s="5"/>
      <c r="Q97" s="5"/>
      <c r="R97" s="3"/>
      <c r="S97" s="3"/>
      <c r="T97" s="3"/>
      <c r="U97" s="3"/>
      <c r="V97" s="3"/>
      <c r="W97" s="3"/>
      <c r="X97" s="3"/>
      <c r="Y97" s="3"/>
      <c r="Z97" s="3"/>
      <c r="AA97" s="3" t="s">
        <v>41</v>
      </c>
      <c r="AB97" s="3">
        <v>46161.416666666664</v>
      </c>
      <c r="AC97" s="3" t="s">
        <v>239</v>
      </c>
      <c r="AD97" s="3" t="s">
        <v>29</v>
      </c>
      <c r="AE97" s="5" t="s">
        <v>176</v>
      </c>
      <c r="AF97" s="5" t="s">
        <v>336</v>
      </c>
      <c r="AG97" s="3"/>
      <c r="AH97" s="3"/>
      <c r="AI97" s="3"/>
      <c r="AJ97" s="3"/>
      <c r="AK97" s="3">
        <v>-0.4</v>
      </c>
      <c r="AL97" s="3">
        <v>3.1</v>
      </c>
      <c r="AM97" s="3">
        <v>1.47</v>
      </c>
      <c r="AN97" s="3">
        <v>96.85</v>
      </c>
      <c r="AO97" s="3">
        <v>15.94</v>
      </c>
      <c r="AP97" s="3">
        <v>0.14000000000000001</v>
      </c>
      <c r="AQ97" s="3">
        <v>0.41</v>
      </c>
      <c r="AR97" s="3"/>
      <c r="AS97" s="3"/>
      <c r="AT97" s="5" t="s">
        <v>146</v>
      </c>
      <c r="AU97" s="3" t="s">
        <v>315</v>
      </c>
      <c r="AV97" s="3" t="s">
        <v>127</v>
      </c>
      <c r="AW97" s="3">
        <v>15</v>
      </c>
      <c r="AX97" s="3" t="s">
        <v>148</v>
      </c>
      <c r="AY97" s="3" t="s">
        <v>301</v>
      </c>
      <c r="AZ97" s="3" t="s">
        <v>295</v>
      </c>
      <c r="BA97" s="3"/>
      <c r="BB97" s="3"/>
      <c r="BC97" s="3"/>
      <c r="BD97" s="3"/>
      <c r="BE97" s="3"/>
      <c r="BF97" s="3"/>
      <c r="BG97" s="3"/>
      <c r="BH97" s="3">
        <v>10</v>
      </c>
      <c r="BI97" s="3">
        <v>0</v>
      </c>
      <c r="BJ97" s="3">
        <v>10.28</v>
      </c>
      <c r="BK97" s="3">
        <v>12.5</v>
      </c>
      <c r="BL97" s="3">
        <v>247.43646901471249</v>
      </c>
      <c r="BM97" s="3">
        <v>9752.5635309852878</v>
      </c>
      <c r="BN97" s="5">
        <v>2026</v>
      </c>
      <c r="BO97" s="3" t="s">
        <v>134</v>
      </c>
      <c r="BP97" s="3" t="s">
        <v>135</v>
      </c>
      <c r="BQ97" s="3" t="s">
        <v>296</v>
      </c>
      <c r="BR97" s="3" t="s">
        <v>191</v>
      </c>
      <c r="BS97" s="3" t="s">
        <v>321</v>
      </c>
      <c r="BT97" s="3" t="s">
        <v>213</v>
      </c>
      <c r="BU97" s="3" t="s">
        <v>140</v>
      </c>
      <c r="BV97" s="3" t="s">
        <v>141</v>
      </c>
      <c r="BW97" s="3">
        <v>2</v>
      </c>
      <c r="BX97" s="3" t="s">
        <v>322</v>
      </c>
      <c r="BY97" s="3" t="s">
        <v>323</v>
      </c>
    </row>
    <row r="98" spans="1:77">
      <c r="A98" s="3" t="s">
        <v>339</v>
      </c>
      <c r="B98" s="4">
        <v>46154.625</v>
      </c>
      <c r="C98" s="5">
        <v>5</v>
      </c>
      <c r="D98" s="5">
        <v>15</v>
      </c>
      <c r="E98" s="5">
        <v>1066.5999999999999</v>
      </c>
      <c r="F98" s="5">
        <v>28.38</v>
      </c>
      <c r="G98" s="5"/>
      <c r="H98" s="5">
        <v>75</v>
      </c>
      <c r="I98" s="5">
        <v>79.88</v>
      </c>
      <c r="J98" s="5">
        <v>113</v>
      </c>
      <c r="K98" s="5">
        <v>133</v>
      </c>
      <c r="L98" s="5">
        <v>222.06</v>
      </c>
      <c r="M98" s="5">
        <v>1.27</v>
      </c>
      <c r="N98" s="5">
        <v>0</v>
      </c>
      <c r="O98" s="3"/>
      <c r="P98" s="5"/>
      <c r="Q98" s="5"/>
      <c r="R98" s="3" t="s">
        <v>290</v>
      </c>
      <c r="S98" s="3"/>
      <c r="T98" s="3"/>
      <c r="U98" s="3"/>
      <c r="V98" s="3"/>
      <c r="W98" s="3"/>
      <c r="X98" s="3"/>
      <c r="Y98" s="3"/>
      <c r="Z98" s="3"/>
      <c r="AA98" s="3" t="s">
        <v>42</v>
      </c>
      <c r="AB98" s="3" t="s">
        <v>291</v>
      </c>
      <c r="AC98" s="3" t="s">
        <v>187</v>
      </c>
      <c r="AD98" s="3" t="s">
        <v>29</v>
      </c>
      <c r="AE98" s="5" t="s">
        <v>176</v>
      </c>
      <c r="AF98" s="5" t="s">
        <v>340</v>
      </c>
      <c r="AG98" s="3"/>
      <c r="AH98" s="3" t="s">
        <v>341</v>
      </c>
      <c r="AI98" s="3">
        <v>0</v>
      </c>
      <c r="AJ98" s="3" t="s">
        <v>124</v>
      </c>
      <c r="AK98" s="3">
        <v>16.8</v>
      </c>
      <c r="AL98" s="3">
        <v>3.15</v>
      </c>
      <c r="AM98" s="3">
        <v>11.52</v>
      </c>
      <c r="AN98" s="3">
        <v>32.409999999999997</v>
      </c>
      <c r="AO98" s="3">
        <v>13.98</v>
      </c>
      <c r="AP98" s="3">
        <v>154.88</v>
      </c>
      <c r="AQ98" s="3">
        <v>0.18</v>
      </c>
      <c r="AR98" s="3"/>
      <c r="AS98" s="3"/>
      <c r="AT98" s="5" t="s">
        <v>125</v>
      </c>
      <c r="AU98" s="3" t="s">
        <v>126</v>
      </c>
      <c r="AV98" s="3" t="s">
        <v>127</v>
      </c>
      <c r="AW98" s="3">
        <v>50</v>
      </c>
      <c r="AX98" s="3" t="s">
        <v>128</v>
      </c>
      <c r="AY98" s="3" t="s">
        <v>294</v>
      </c>
      <c r="AZ98" s="3" t="s">
        <v>295</v>
      </c>
      <c r="BA98" s="3"/>
      <c r="BB98" s="3"/>
      <c r="BC98" s="3" t="s">
        <v>250</v>
      </c>
      <c r="BD98" s="3" t="s">
        <v>243</v>
      </c>
      <c r="BE98" s="3" t="s">
        <v>244</v>
      </c>
      <c r="BF98" s="3"/>
      <c r="BG98" s="3"/>
      <c r="BH98" s="3">
        <v>10</v>
      </c>
      <c r="BI98" s="3">
        <v>0</v>
      </c>
      <c r="BJ98" s="3">
        <v>1.19</v>
      </c>
      <c r="BK98" s="3">
        <v>12.5</v>
      </c>
      <c r="BL98" s="3">
        <v>1144.6209897783624</v>
      </c>
      <c r="BM98" s="3">
        <v>8855.3790102216371</v>
      </c>
      <c r="BN98" s="5">
        <v>2026</v>
      </c>
      <c r="BO98" s="3" t="s">
        <v>134</v>
      </c>
      <c r="BP98" s="3" t="s">
        <v>135</v>
      </c>
      <c r="BQ98" s="3" t="s">
        <v>296</v>
      </c>
      <c r="BR98" s="3" t="s">
        <v>211</v>
      </c>
      <c r="BS98" s="3" t="s">
        <v>342</v>
      </c>
      <c r="BT98" s="3" t="s">
        <v>213</v>
      </c>
      <c r="BU98" s="3" t="s">
        <v>140</v>
      </c>
      <c r="BV98" s="3" t="s">
        <v>141</v>
      </c>
      <c r="BW98" s="3">
        <v>2</v>
      </c>
      <c r="BX98" s="3" t="s">
        <v>343</v>
      </c>
      <c r="BY98" s="3" t="s">
        <v>344</v>
      </c>
    </row>
    <row r="99" spans="1:77">
      <c r="A99" s="3" t="s">
        <v>345</v>
      </c>
      <c r="B99" s="4">
        <v>46155.416666666664</v>
      </c>
      <c r="C99" s="5">
        <v>24</v>
      </c>
      <c r="D99" s="5">
        <v>15</v>
      </c>
      <c r="E99" s="5">
        <v>1066.8</v>
      </c>
      <c r="F99" s="5">
        <v>31.91</v>
      </c>
      <c r="G99" s="5"/>
      <c r="H99" s="5"/>
      <c r="I99" s="5">
        <v>0</v>
      </c>
      <c r="J99" s="5"/>
      <c r="K99" s="5"/>
      <c r="L99" s="5"/>
      <c r="M99" s="5"/>
      <c r="N99" s="5"/>
      <c r="O99" s="3"/>
      <c r="P99" s="5"/>
      <c r="Q99" s="5"/>
      <c r="R99" s="3"/>
      <c r="S99" s="3"/>
      <c r="T99" s="3"/>
      <c r="U99" s="3"/>
      <c r="V99" s="3"/>
      <c r="W99" s="3"/>
      <c r="X99" s="3"/>
      <c r="Y99" s="3"/>
      <c r="Z99" s="3"/>
      <c r="AA99" s="3" t="s">
        <v>42</v>
      </c>
      <c r="AB99" s="3">
        <v>46155.416666666664</v>
      </c>
      <c r="AC99" s="3" t="s">
        <v>239</v>
      </c>
      <c r="AD99" s="3" t="s">
        <v>29</v>
      </c>
      <c r="AE99" s="5" t="s">
        <v>176</v>
      </c>
      <c r="AF99" s="5" t="s">
        <v>340</v>
      </c>
      <c r="AG99" s="3"/>
      <c r="AH99" s="3"/>
      <c r="AI99" s="3"/>
      <c r="AJ99" s="3"/>
      <c r="AK99" s="3">
        <v>16.7</v>
      </c>
      <c r="AL99" s="3">
        <v>3.14</v>
      </c>
      <c r="AM99" s="3">
        <v>2.2799999999999998</v>
      </c>
      <c r="AN99" s="3">
        <v>32.4</v>
      </c>
      <c r="AO99" s="3">
        <v>20.04</v>
      </c>
      <c r="AP99" s="3"/>
      <c r="AQ99" s="3"/>
      <c r="AR99" s="3"/>
      <c r="AS99" s="3"/>
      <c r="AT99" s="5" t="s">
        <v>146</v>
      </c>
      <c r="AU99" s="3" t="s">
        <v>147</v>
      </c>
      <c r="AV99" s="3" t="s">
        <v>127</v>
      </c>
      <c r="AW99" s="3">
        <v>15</v>
      </c>
      <c r="AX99" s="3" t="s">
        <v>148</v>
      </c>
      <c r="AY99" s="3" t="s">
        <v>301</v>
      </c>
      <c r="AZ99" s="3" t="s">
        <v>295</v>
      </c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5">
        <v>2026</v>
      </c>
      <c r="BO99" s="3" t="s">
        <v>134</v>
      </c>
      <c r="BP99" s="3" t="s">
        <v>135</v>
      </c>
      <c r="BQ99" s="3" t="s">
        <v>296</v>
      </c>
      <c r="BR99" s="3" t="s">
        <v>211</v>
      </c>
      <c r="BS99" s="3" t="s">
        <v>342</v>
      </c>
      <c r="BT99" s="3" t="s">
        <v>213</v>
      </c>
      <c r="BU99" s="3" t="s">
        <v>140</v>
      </c>
      <c r="BV99" s="3" t="s">
        <v>141</v>
      </c>
      <c r="BW99" s="3">
        <v>2</v>
      </c>
      <c r="BX99" s="3" t="s">
        <v>343</v>
      </c>
      <c r="BY99" s="3" t="s">
        <v>344</v>
      </c>
    </row>
    <row r="100" spans="1:77">
      <c r="A100" s="3" t="s">
        <v>346</v>
      </c>
      <c r="B100" s="4">
        <v>46156.416666666664</v>
      </c>
      <c r="C100" s="5">
        <v>48</v>
      </c>
      <c r="D100" s="5">
        <v>15</v>
      </c>
      <c r="E100" s="5">
        <v>1065.5999999999999</v>
      </c>
      <c r="F100" s="5">
        <v>39.82</v>
      </c>
      <c r="G100" s="5"/>
      <c r="H100" s="5"/>
      <c r="I100" s="5">
        <v>0</v>
      </c>
      <c r="J100" s="5"/>
      <c r="K100" s="5"/>
      <c r="L100" s="5"/>
      <c r="M100" s="5"/>
      <c r="N100" s="5"/>
      <c r="O100" s="3"/>
      <c r="P100" s="5"/>
      <c r="Q100" s="5"/>
      <c r="R100" s="3"/>
      <c r="S100" s="3"/>
      <c r="T100" s="3"/>
      <c r="U100" s="3"/>
      <c r="V100" s="3"/>
      <c r="W100" s="3"/>
      <c r="X100" s="3"/>
      <c r="Y100" s="3"/>
      <c r="Z100" s="3"/>
      <c r="AA100" s="3" t="s">
        <v>42</v>
      </c>
      <c r="AB100" s="3">
        <v>46156.416666666664</v>
      </c>
      <c r="AC100" s="3" t="s">
        <v>239</v>
      </c>
      <c r="AD100" s="3" t="s">
        <v>29</v>
      </c>
      <c r="AE100" s="5" t="s">
        <v>176</v>
      </c>
      <c r="AF100" s="5" t="s">
        <v>340</v>
      </c>
      <c r="AG100" s="3"/>
      <c r="AH100" s="3"/>
      <c r="AI100" s="3"/>
      <c r="AJ100" s="3"/>
      <c r="AK100" s="3">
        <v>16.399999999999999</v>
      </c>
      <c r="AL100" s="3">
        <v>3.17</v>
      </c>
      <c r="AM100" s="3">
        <v>3.09</v>
      </c>
      <c r="AN100" s="3">
        <v>39.94</v>
      </c>
      <c r="AO100" s="3">
        <v>22.12</v>
      </c>
      <c r="AP100" s="3"/>
      <c r="AQ100" s="3"/>
      <c r="AR100" s="3"/>
      <c r="AS100" s="3"/>
      <c r="AT100" s="5" t="s">
        <v>146</v>
      </c>
      <c r="AU100" s="3" t="s">
        <v>158</v>
      </c>
      <c r="AV100" s="3" t="s">
        <v>127</v>
      </c>
      <c r="AW100" s="3">
        <v>15</v>
      </c>
      <c r="AX100" s="3" t="s">
        <v>148</v>
      </c>
      <c r="AY100" s="3" t="s">
        <v>301</v>
      </c>
      <c r="AZ100" s="3" t="s">
        <v>295</v>
      </c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5">
        <v>2026</v>
      </c>
      <c r="BO100" s="3" t="s">
        <v>134</v>
      </c>
      <c r="BP100" s="3" t="s">
        <v>135</v>
      </c>
      <c r="BQ100" s="3" t="s">
        <v>296</v>
      </c>
      <c r="BR100" s="3" t="s">
        <v>211</v>
      </c>
      <c r="BS100" s="3" t="s">
        <v>342</v>
      </c>
      <c r="BT100" s="3" t="s">
        <v>213</v>
      </c>
      <c r="BU100" s="3" t="s">
        <v>140</v>
      </c>
      <c r="BV100" s="3" t="s">
        <v>141</v>
      </c>
      <c r="BW100" s="3">
        <v>2</v>
      </c>
      <c r="BX100" s="3" t="s">
        <v>343</v>
      </c>
      <c r="BY100" s="3" t="s">
        <v>344</v>
      </c>
    </row>
    <row r="101" spans="1:77">
      <c r="A101" s="3" t="s">
        <v>347</v>
      </c>
      <c r="B101" s="4">
        <v>46156.625</v>
      </c>
      <c r="C101" s="5">
        <v>53</v>
      </c>
      <c r="D101" s="5">
        <v>15</v>
      </c>
      <c r="E101" s="5">
        <v>1065.4000000000001</v>
      </c>
      <c r="F101" s="5">
        <v>39.130000000000003</v>
      </c>
      <c r="G101" s="5"/>
      <c r="H101" s="5">
        <v>63.23</v>
      </c>
      <c r="I101" s="5">
        <v>81.06</v>
      </c>
      <c r="J101" s="5">
        <v>166</v>
      </c>
      <c r="K101" s="5">
        <v>136</v>
      </c>
      <c r="L101" s="5">
        <v>277.52</v>
      </c>
      <c r="M101" s="5">
        <v>1.74</v>
      </c>
      <c r="N101" s="5">
        <v>35</v>
      </c>
      <c r="O101" s="3"/>
      <c r="P101" s="5"/>
      <c r="Q101" s="5"/>
      <c r="R101" s="3"/>
      <c r="S101" s="3"/>
      <c r="T101" s="3"/>
      <c r="U101" s="3"/>
      <c r="V101" s="3"/>
      <c r="W101" s="3"/>
      <c r="X101" s="3"/>
      <c r="Y101" s="3"/>
      <c r="Z101" s="3"/>
      <c r="AA101" s="3" t="s">
        <v>42</v>
      </c>
      <c r="AB101" s="3" t="s">
        <v>328</v>
      </c>
      <c r="AC101" s="3" t="s">
        <v>187</v>
      </c>
      <c r="AD101" s="3" t="s">
        <v>29</v>
      </c>
      <c r="AE101" s="5" t="s">
        <v>176</v>
      </c>
      <c r="AF101" s="5" t="s">
        <v>340</v>
      </c>
      <c r="AG101" s="3"/>
      <c r="AH101" s="3"/>
      <c r="AI101" s="3"/>
      <c r="AJ101" s="3"/>
      <c r="AK101" s="3">
        <v>16.5</v>
      </c>
      <c r="AL101" s="3">
        <v>3.16</v>
      </c>
      <c r="AM101" s="3">
        <v>2.0099999999999998</v>
      </c>
      <c r="AN101" s="3">
        <v>39.32</v>
      </c>
      <c r="AO101" s="3">
        <v>21.68</v>
      </c>
      <c r="AP101" s="3">
        <v>144.29</v>
      </c>
      <c r="AQ101" s="3">
        <v>0.27</v>
      </c>
      <c r="AR101" s="3"/>
      <c r="AS101" s="3"/>
      <c r="AT101" s="5" t="s">
        <v>125</v>
      </c>
      <c r="AU101" s="3" t="s">
        <v>329</v>
      </c>
      <c r="AV101" s="3" t="s">
        <v>127</v>
      </c>
      <c r="AW101" s="3">
        <v>50</v>
      </c>
      <c r="AX101" s="3" t="s">
        <v>128</v>
      </c>
      <c r="AY101" s="3" t="s">
        <v>294</v>
      </c>
      <c r="AZ101" s="3" t="s">
        <v>295</v>
      </c>
      <c r="BA101" s="3"/>
      <c r="BB101" s="3"/>
      <c r="BC101" s="3" t="s">
        <v>250</v>
      </c>
      <c r="BD101" s="3" t="s">
        <v>243</v>
      </c>
      <c r="BE101" s="3" t="s">
        <v>244</v>
      </c>
      <c r="BF101" s="3"/>
      <c r="BG101" s="3"/>
      <c r="BH101" s="3">
        <v>10</v>
      </c>
      <c r="BI101" s="3">
        <v>0</v>
      </c>
      <c r="BJ101" s="3">
        <v>1.52</v>
      </c>
      <c r="BK101" s="3">
        <v>12.5</v>
      </c>
      <c r="BL101" s="3">
        <v>1114.9471974004873</v>
      </c>
      <c r="BM101" s="3">
        <v>8885.0528025995118</v>
      </c>
      <c r="BN101" s="5">
        <v>2026</v>
      </c>
      <c r="BO101" s="3" t="s">
        <v>134</v>
      </c>
      <c r="BP101" s="3" t="s">
        <v>135</v>
      </c>
      <c r="BQ101" s="3" t="s">
        <v>296</v>
      </c>
      <c r="BR101" s="3" t="s">
        <v>211</v>
      </c>
      <c r="BS101" s="3" t="s">
        <v>342</v>
      </c>
      <c r="BT101" s="3" t="s">
        <v>213</v>
      </c>
      <c r="BU101" s="3" t="s">
        <v>140</v>
      </c>
      <c r="BV101" s="3" t="s">
        <v>141</v>
      </c>
      <c r="BW101" s="3">
        <v>2</v>
      </c>
      <c r="BX101" s="3" t="s">
        <v>343</v>
      </c>
      <c r="BY101" s="3" t="s">
        <v>344</v>
      </c>
    </row>
    <row r="102" spans="1:77">
      <c r="A102" s="3" t="s">
        <v>348</v>
      </c>
      <c r="B102" s="4">
        <v>46157.416666666664</v>
      </c>
      <c r="C102" s="5">
        <v>72</v>
      </c>
      <c r="D102" s="5">
        <v>18</v>
      </c>
      <c r="E102" s="5">
        <v>1059.2</v>
      </c>
      <c r="F102" s="5">
        <v>49.88</v>
      </c>
      <c r="G102" s="5"/>
      <c r="H102" s="5">
        <v>55.44</v>
      </c>
      <c r="I102" s="5">
        <v>77.59</v>
      </c>
      <c r="J102" s="5">
        <v>153</v>
      </c>
      <c r="K102" s="5">
        <v>99</v>
      </c>
      <c r="L102" s="5">
        <v>234.18</v>
      </c>
      <c r="M102" s="5">
        <v>2.16</v>
      </c>
      <c r="N102" s="5">
        <v>43</v>
      </c>
      <c r="O102" s="3"/>
      <c r="P102" s="5"/>
      <c r="Q102" s="5"/>
      <c r="R102" s="3"/>
      <c r="S102" s="3"/>
      <c r="T102" s="3"/>
      <c r="U102" s="3"/>
      <c r="V102" s="3"/>
      <c r="W102" s="3"/>
      <c r="X102" s="3"/>
      <c r="Y102" s="3"/>
      <c r="Z102" s="3"/>
      <c r="AA102" s="3" t="s">
        <v>42</v>
      </c>
      <c r="AB102" s="3">
        <v>46157.416666666664</v>
      </c>
      <c r="AC102" s="3" t="s">
        <v>239</v>
      </c>
      <c r="AD102" s="3" t="s">
        <v>29</v>
      </c>
      <c r="AE102" s="5" t="s">
        <v>176</v>
      </c>
      <c r="AF102" s="5" t="s">
        <v>349</v>
      </c>
      <c r="AG102" s="3"/>
      <c r="AH102" s="3"/>
      <c r="AI102" s="3"/>
      <c r="AJ102" s="3"/>
      <c r="AK102" s="3">
        <v>15.1</v>
      </c>
      <c r="AL102" s="3">
        <v>3.12</v>
      </c>
      <c r="AM102" s="3">
        <v>0.36</v>
      </c>
      <c r="AN102" s="3">
        <v>50.65</v>
      </c>
      <c r="AO102" s="3">
        <v>23.88</v>
      </c>
      <c r="AP102" s="3">
        <v>133.03</v>
      </c>
      <c r="AQ102" s="3">
        <v>0.24</v>
      </c>
      <c r="AR102" s="3"/>
      <c r="AS102" s="3"/>
      <c r="AT102" s="5" t="s">
        <v>146</v>
      </c>
      <c r="AU102" s="3" t="s">
        <v>178</v>
      </c>
      <c r="AV102" s="3" t="s">
        <v>127</v>
      </c>
      <c r="AW102" s="3">
        <v>15</v>
      </c>
      <c r="AX102" s="3" t="s">
        <v>148</v>
      </c>
      <c r="AY102" s="3" t="s">
        <v>301</v>
      </c>
      <c r="AZ102" s="3" t="s">
        <v>295</v>
      </c>
      <c r="BA102" s="3"/>
      <c r="BB102" s="3"/>
      <c r="BC102" s="3"/>
      <c r="BD102" s="3"/>
      <c r="BE102" s="3"/>
      <c r="BF102" s="3"/>
      <c r="BG102" s="3"/>
      <c r="BH102" s="3">
        <v>10</v>
      </c>
      <c r="BI102" s="3">
        <v>0</v>
      </c>
      <c r="BJ102" s="3">
        <v>2.2200000000000002</v>
      </c>
      <c r="BK102" s="3">
        <v>12.5</v>
      </c>
      <c r="BL102" s="3">
        <v>1051.3397422785847</v>
      </c>
      <c r="BM102" s="3">
        <v>8948.6602577214144</v>
      </c>
      <c r="BN102" s="5">
        <v>2026</v>
      </c>
      <c r="BO102" s="3" t="s">
        <v>134</v>
      </c>
      <c r="BP102" s="3" t="s">
        <v>135</v>
      </c>
      <c r="BQ102" s="3" t="s">
        <v>296</v>
      </c>
      <c r="BR102" s="3" t="s">
        <v>211</v>
      </c>
      <c r="BS102" s="3" t="s">
        <v>342</v>
      </c>
      <c r="BT102" s="3" t="s">
        <v>213</v>
      </c>
      <c r="BU102" s="3" t="s">
        <v>140</v>
      </c>
      <c r="BV102" s="3" t="s">
        <v>141</v>
      </c>
      <c r="BW102" s="3">
        <v>2</v>
      </c>
      <c r="BX102" s="3" t="s">
        <v>343</v>
      </c>
      <c r="BY102" s="3" t="s">
        <v>344</v>
      </c>
    </row>
    <row r="103" spans="1:77">
      <c r="A103" s="3" t="s">
        <v>350</v>
      </c>
      <c r="B103" s="4">
        <v>46157.625</v>
      </c>
      <c r="C103" s="5">
        <v>77</v>
      </c>
      <c r="D103" s="5">
        <v>18</v>
      </c>
      <c r="E103" s="5">
        <v>1066.2</v>
      </c>
      <c r="F103" s="5">
        <v>32.6</v>
      </c>
      <c r="G103" s="5"/>
      <c r="H103" s="5"/>
      <c r="I103" s="5">
        <v>0</v>
      </c>
      <c r="J103" s="5"/>
      <c r="K103" s="5"/>
      <c r="L103" s="5"/>
      <c r="M103" s="5"/>
      <c r="N103" s="5"/>
      <c r="O103" s="3"/>
      <c r="P103" s="5"/>
      <c r="Q103" s="5"/>
      <c r="R103" s="3"/>
      <c r="S103" s="3"/>
      <c r="T103" s="3"/>
      <c r="U103" s="3"/>
      <c r="V103" s="3"/>
      <c r="W103" s="3"/>
      <c r="X103" s="3"/>
      <c r="Y103" s="3"/>
      <c r="Z103" s="3"/>
      <c r="AA103" s="3" t="s">
        <v>42</v>
      </c>
      <c r="AB103" s="3" t="s">
        <v>308</v>
      </c>
      <c r="AC103" s="3" t="s">
        <v>187</v>
      </c>
      <c r="AD103" s="3" t="s">
        <v>29</v>
      </c>
      <c r="AE103" s="5" t="s">
        <v>176</v>
      </c>
      <c r="AF103" s="5" t="s">
        <v>349</v>
      </c>
      <c r="AG103" s="3"/>
      <c r="AH103" s="3"/>
      <c r="AI103" s="3"/>
      <c r="AJ103" s="3"/>
      <c r="AK103" s="3">
        <v>16.7</v>
      </c>
      <c r="AL103" s="3">
        <v>3.16</v>
      </c>
      <c r="AM103" s="3">
        <v>2.64</v>
      </c>
      <c r="AN103" s="3">
        <v>32.950000000000003</v>
      </c>
      <c r="AO103" s="3">
        <v>19</v>
      </c>
      <c r="AP103" s="3"/>
      <c r="AQ103" s="3"/>
      <c r="AR103" s="3"/>
      <c r="AS103" s="3"/>
      <c r="AT103" s="5" t="s">
        <v>146</v>
      </c>
      <c r="AU103" s="3" t="s">
        <v>152</v>
      </c>
      <c r="AV103" s="3" t="s">
        <v>127</v>
      </c>
      <c r="AW103" s="3">
        <v>15</v>
      </c>
      <c r="AX103" s="3" t="s">
        <v>148</v>
      </c>
      <c r="AY103" s="3" t="s">
        <v>301</v>
      </c>
      <c r="AZ103" s="3" t="s">
        <v>295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5">
        <v>2026</v>
      </c>
      <c r="BO103" s="3" t="s">
        <v>134</v>
      </c>
      <c r="BP103" s="3" t="s">
        <v>135</v>
      </c>
      <c r="BQ103" s="3" t="s">
        <v>296</v>
      </c>
      <c r="BR103" s="3" t="s">
        <v>211</v>
      </c>
      <c r="BS103" s="3" t="s">
        <v>342</v>
      </c>
      <c r="BT103" s="3" t="s">
        <v>213</v>
      </c>
      <c r="BU103" s="3" t="s">
        <v>140</v>
      </c>
      <c r="BV103" s="3" t="s">
        <v>141</v>
      </c>
      <c r="BW103" s="3">
        <v>2</v>
      </c>
      <c r="BX103" s="3" t="s">
        <v>343</v>
      </c>
      <c r="BY103" s="3" t="s">
        <v>344</v>
      </c>
    </row>
    <row r="104" spans="1:77">
      <c r="A104" s="3" t="s">
        <v>351</v>
      </c>
      <c r="B104" s="4">
        <v>46160.416666666664</v>
      </c>
      <c r="C104" s="5">
        <v>144</v>
      </c>
      <c r="D104" s="5">
        <v>21</v>
      </c>
      <c r="E104" s="5">
        <v>1001.7</v>
      </c>
      <c r="F104" s="5">
        <v>97.08</v>
      </c>
      <c r="G104" s="5"/>
      <c r="H104" s="5"/>
      <c r="I104" s="5">
        <v>0</v>
      </c>
      <c r="J104" s="5"/>
      <c r="K104" s="5"/>
      <c r="L104" s="5"/>
      <c r="M104" s="5"/>
      <c r="N104" s="5"/>
      <c r="O104" s="3"/>
      <c r="P104" s="5"/>
      <c r="Q104" s="5"/>
      <c r="R104" s="3" t="s">
        <v>290</v>
      </c>
      <c r="S104" s="3"/>
      <c r="T104" s="3"/>
      <c r="U104" s="3"/>
      <c r="V104" s="3"/>
      <c r="W104" s="3"/>
      <c r="X104" s="3"/>
      <c r="Y104" s="3"/>
      <c r="Z104" s="3"/>
      <c r="AA104" s="3" t="s">
        <v>42</v>
      </c>
      <c r="AB104" s="3">
        <v>46160.416666666664</v>
      </c>
      <c r="AC104" s="3" t="s">
        <v>239</v>
      </c>
      <c r="AD104" s="3" t="s">
        <v>29</v>
      </c>
      <c r="AE104" s="5" t="s">
        <v>176</v>
      </c>
      <c r="AF104" s="5" t="s">
        <v>352</v>
      </c>
      <c r="AG104" s="3"/>
      <c r="AH104" s="3" t="s">
        <v>353</v>
      </c>
      <c r="AI104" s="3">
        <v>84</v>
      </c>
      <c r="AJ104" s="3" t="s">
        <v>163</v>
      </c>
      <c r="AK104" s="3">
        <v>1.1000000000000001</v>
      </c>
      <c r="AL104" s="3">
        <v>3.09</v>
      </c>
      <c r="AM104" s="3">
        <v>1.47</v>
      </c>
      <c r="AN104" s="3">
        <v>97.77</v>
      </c>
      <c r="AO104" s="3">
        <v>12.88</v>
      </c>
      <c r="AP104" s="3"/>
      <c r="AQ104" s="3"/>
      <c r="AR104" s="3"/>
      <c r="AS104" s="3"/>
      <c r="AT104" s="5" t="s">
        <v>125</v>
      </c>
      <c r="AU104" s="3" t="s">
        <v>163</v>
      </c>
      <c r="AV104" s="3" t="s">
        <v>127</v>
      </c>
      <c r="AW104" s="3">
        <v>50</v>
      </c>
      <c r="AX104" s="3" t="s">
        <v>128</v>
      </c>
      <c r="AY104" s="3" t="s">
        <v>310</v>
      </c>
      <c r="AZ104" s="3" t="s">
        <v>295</v>
      </c>
      <c r="BA104" s="3"/>
      <c r="BB104" s="3"/>
      <c r="BC104" s="3" t="s">
        <v>131</v>
      </c>
      <c r="BD104" s="3" t="s">
        <v>243</v>
      </c>
      <c r="BE104" s="3" t="s">
        <v>133</v>
      </c>
      <c r="BF104" s="3"/>
      <c r="BG104" s="3"/>
      <c r="BH104" s="3"/>
      <c r="BI104" s="3"/>
      <c r="BJ104" s="3"/>
      <c r="BK104" s="3"/>
      <c r="BL104" s="3"/>
      <c r="BM104" s="3"/>
      <c r="BN104" s="5">
        <v>2026</v>
      </c>
      <c r="BO104" s="3" t="s">
        <v>134</v>
      </c>
      <c r="BP104" s="3" t="s">
        <v>135</v>
      </c>
      <c r="BQ104" s="3" t="s">
        <v>296</v>
      </c>
      <c r="BR104" s="3" t="s">
        <v>211</v>
      </c>
      <c r="BS104" s="3" t="s">
        <v>342</v>
      </c>
      <c r="BT104" s="3" t="s">
        <v>213</v>
      </c>
      <c r="BU104" s="3" t="s">
        <v>140</v>
      </c>
      <c r="BV104" s="3" t="s">
        <v>141</v>
      </c>
      <c r="BW104" s="3">
        <v>2</v>
      </c>
      <c r="BX104" s="3" t="s">
        <v>343</v>
      </c>
      <c r="BY104" s="3" t="s">
        <v>344</v>
      </c>
    </row>
    <row r="105" spans="1:77">
      <c r="A105" s="3" t="s">
        <v>354</v>
      </c>
      <c r="B105" s="4">
        <v>46161.416666666664</v>
      </c>
      <c r="C105" s="5">
        <v>168</v>
      </c>
      <c r="D105" s="5">
        <v>21</v>
      </c>
      <c r="E105" s="5">
        <v>997.4</v>
      </c>
      <c r="F105" s="5">
        <v>103.61</v>
      </c>
      <c r="G105" s="5"/>
      <c r="H105" s="5">
        <v>0</v>
      </c>
      <c r="I105" s="5">
        <v>0.09</v>
      </c>
      <c r="J105" s="5">
        <v>114</v>
      </c>
      <c r="K105" s="5">
        <v>14</v>
      </c>
      <c r="L105" s="5">
        <v>125.48</v>
      </c>
      <c r="M105" s="5">
        <v>5.68</v>
      </c>
      <c r="N105" s="5">
        <v>32</v>
      </c>
      <c r="O105" s="3"/>
      <c r="P105" s="5"/>
      <c r="Q105" s="5"/>
      <c r="R105" s="3"/>
      <c r="S105" s="3"/>
      <c r="T105" s="3"/>
      <c r="U105" s="3"/>
      <c r="V105" s="3"/>
      <c r="W105" s="3"/>
      <c r="X105" s="3"/>
      <c r="Y105" s="3"/>
      <c r="Z105" s="3"/>
      <c r="AA105" s="3" t="s">
        <v>42</v>
      </c>
      <c r="AB105" s="3">
        <v>46161.416666666664</v>
      </c>
      <c r="AC105" s="3" t="s">
        <v>239</v>
      </c>
      <c r="AD105" s="3" t="s">
        <v>29</v>
      </c>
      <c r="AE105" s="5" t="s">
        <v>176</v>
      </c>
      <c r="AF105" s="5" t="s">
        <v>352</v>
      </c>
      <c r="AG105" s="3"/>
      <c r="AH105" s="3"/>
      <c r="AI105" s="3"/>
      <c r="AJ105" s="3"/>
      <c r="AK105" s="3">
        <v>-0.1</v>
      </c>
      <c r="AL105" s="3">
        <v>3.16</v>
      </c>
      <c r="AM105" s="3">
        <v>0.7</v>
      </c>
      <c r="AN105" s="3">
        <v>103.76</v>
      </c>
      <c r="AO105" s="3">
        <v>16.21</v>
      </c>
      <c r="AP105" s="3">
        <v>0.09</v>
      </c>
      <c r="AQ105" s="3">
        <v>0.42</v>
      </c>
      <c r="AR105" s="3"/>
      <c r="AS105" s="3"/>
      <c r="AT105" s="5" t="s">
        <v>125</v>
      </c>
      <c r="AU105" s="3" t="s">
        <v>355</v>
      </c>
      <c r="AV105" s="3" t="s">
        <v>127</v>
      </c>
      <c r="AW105" s="3">
        <v>50</v>
      </c>
      <c r="AX105" s="3" t="s">
        <v>128</v>
      </c>
      <c r="AY105" s="3" t="s">
        <v>294</v>
      </c>
      <c r="AZ105" s="3" t="s">
        <v>295</v>
      </c>
      <c r="BA105" s="3"/>
      <c r="BB105" s="3"/>
      <c r="BC105" s="3" t="s">
        <v>250</v>
      </c>
      <c r="BD105" s="3" t="s">
        <v>243</v>
      </c>
      <c r="BE105" s="3" t="s">
        <v>244</v>
      </c>
      <c r="BF105" s="3"/>
      <c r="BG105" s="3"/>
      <c r="BH105" s="3">
        <v>10</v>
      </c>
      <c r="BI105" s="3">
        <v>0</v>
      </c>
      <c r="BJ105" s="3">
        <v>10.27</v>
      </c>
      <c r="BK105" s="3">
        <v>12.5</v>
      </c>
      <c r="BL105" s="3">
        <v>248.5233478212416</v>
      </c>
      <c r="BM105" s="3">
        <v>9751.4766521787587</v>
      </c>
      <c r="BN105" s="5">
        <v>2026</v>
      </c>
      <c r="BO105" s="3" t="s">
        <v>134</v>
      </c>
      <c r="BP105" s="3" t="s">
        <v>135</v>
      </c>
      <c r="BQ105" s="3" t="s">
        <v>296</v>
      </c>
      <c r="BR105" s="3" t="s">
        <v>211</v>
      </c>
      <c r="BS105" s="3" t="s">
        <v>342</v>
      </c>
      <c r="BT105" s="3" t="s">
        <v>213</v>
      </c>
      <c r="BU105" s="3" t="s">
        <v>140</v>
      </c>
      <c r="BV105" s="3" t="s">
        <v>141</v>
      </c>
      <c r="BW105" s="3">
        <v>2</v>
      </c>
      <c r="BX105" s="3" t="s">
        <v>343</v>
      </c>
      <c r="BY105" s="3" t="s">
        <v>344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15"/>
  <sheetViews>
    <sheetView topLeftCell="E1" workbookViewId="0">
      <selection activeCell="R14" sqref="R14"/>
    </sheetView>
  </sheetViews>
  <sheetFormatPr baseColWidth="10" defaultColWidth="9" defaultRowHeight="14.25"/>
  <cols>
    <col min="1" max="1" width="19" customWidth="1"/>
    <col min="2" max="2" width="17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  <col min="78" max="78" width="14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t="inlineStr">
        <is>
          <t>pulso real</t>
        </is>
      </c>
    </row>
    <row r="2" spans="1:77">
      <c r="A2" s="3" t="s">
        <v>118</v>
      </c>
      <c r="B2" s="4">
        <v>46118.541666666664</v>
      </c>
      <c r="C2" s="5">
        <v>0</v>
      </c>
      <c r="D2" s="5">
        <v>18</v>
      </c>
      <c r="E2" s="5">
        <v>1067.7</v>
      </c>
      <c r="F2" s="5">
        <v>13.13</v>
      </c>
      <c r="G2" s="5">
        <v>6.7700000000000315E-2</v>
      </c>
      <c r="H2" s="5">
        <v>75.040000000000006</v>
      </c>
      <c r="I2" s="5">
        <v>70.809999999999988</v>
      </c>
      <c r="J2" s="5">
        <v>93</v>
      </c>
      <c r="K2" s="5">
        <v>168</v>
      </c>
      <c r="L2" s="5">
        <v>230.76</v>
      </c>
      <c r="M2" s="5">
        <v>0.99</v>
      </c>
      <c r="N2" s="5">
        <v>17</v>
      </c>
      <c r="O2" s="3"/>
      <c r="P2" s="5">
        <v>55</v>
      </c>
      <c r="Q2" s="5">
        <v>1.23</v>
      </c>
      <c r="R2" s="3"/>
      <c r="S2" s="3"/>
      <c r="T2" s="3"/>
      <c r="U2" s="3"/>
      <c r="V2" s="3"/>
      <c r="W2" s="3"/>
      <c r="X2" s="3"/>
      <c r="Y2" s="3"/>
      <c r="Z2" s="3"/>
      <c r="AA2" s="3" t="s">
        <v>28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122</v>
      </c>
      <c r="AG2" s="3" t="s">
        <v>30</v>
      </c>
      <c r="AH2" s="3" t="s">
        <v>123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13.44</v>
      </c>
      <c r="AO2" s="3">
        <v>10.86</v>
      </c>
      <c r="AP2" s="3">
        <v>145.85</v>
      </c>
      <c r="AQ2" s="3"/>
      <c r="AR2" s="3">
        <v>1.53</v>
      </c>
      <c r="AS2" s="3">
        <v>1.23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5.4302999999999999</v>
      </c>
      <c r="BB2" s="3">
        <v>5.4980000000000002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1.23</v>
      </c>
      <c r="BK2" s="3">
        <v>12.5</v>
      </c>
      <c r="BL2" s="3">
        <v>1141.0347271438698</v>
      </c>
      <c r="BM2" s="3">
        <v>8858.9652728561305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137</v>
      </c>
      <c r="BS2" s="3" t="s">
        <v>138</v>
      </c>
      <c r="BT2" s="3" t="s">
        <v>139</v>
      </c>
      <c r="BU2" s="3" t="s">
        <v>140</v>
      </c>
      <c r="BV2" s="3" t="s">
        <v>141</v>
      </c>
      <c r="BW2" s="3">
        <v>2</v>
      </c>
      <c r="BX2" s="3" t="s">
        <v>142</v>
      </c>
      <c r="BY2" s="3" t="s">
        <v>143</v>
      </c>
    </row>
    <row r="3" spans="1:77">
      <c r="A3" s="3" t="s">
        <v>144</v>
      </c>
      <c r="B3" s="4">
        <v>46119.333333333336</v>
      </c>
      <c r="C3" s="5">
        <v>19</v>
      </c>
      <c r="D3" s="5">
        <v>18</v>
      </c>
      <c r="E3" s="5">
        <v>1064.3</v>
      </c>
      <c r="F3" s="5">
        <v>28.07</v>
      </c>
      <c r="G3" s="5"/>
      <c r="H3" s="5">
        <v>70.28</v>
      </c>
      <c r="I3" s="5">
        <v>75.430000000000007</v>
      </c>
      <c r="J3" s="5">
        <v>63</v>
      </c>
      <c r="K3" s="5">
        <v>146</v>
      </c>
      <c r="L3" s="5">
        <v>182.72</v>
      </c>
      <c r="M3" s="5">
        <v>1.2</v>
      </c>
      <c r="N3" s="5">
        <v>19</v>
      </c>
      <c r="O3" s="3"/>
      <c r="P3" s="5">
        <v>109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28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122</v>
      </c>
      <c r="AG3" s="3" t="s">
        <v>30</v>
      </c>
      <c r="AH3" s="3"/>
      <c r="AI3" s="3"/>
      <c r="AJ3" s="3"/>
      <c r="AK3" s="3">
        <v>16.2</v>
      </c>
      <c r="AL3" s="3"/>
      <c r="AM3" s="3"/>
      <c r="AN3" s="3">
        <v>28.53</v>
      </c>
      <c r="AO3" s="3">
        <v>29.34</v>
      </c>
      <c r="AP3" s="3">
        <v>145.71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137</v>
      </c>
      <c r="BS3" s="3" t="s">
        <v>138</v>
      </c>
      <c r="BT3" s="3" t="s">
        <v>139</v>
      </c>
      <c r="BU3" s="3" t="s">
        <v>140</v>
      </c>
      <c r="BV3" s="3" t="s">
        <v>141</v>
      </c>
      <c r="BW3" s="3">
        <v>2</v>
      </c>
      <c r="BX3" s="3" t="s">
        <v>142</v>
      </c>
      <c r="BY3" s="3" t="s">
        <v>143</v>
      </c>
    </row>
    <row r="4" spans="1:77">
      <c r="A4" s="3" t="s">
        <v>150</v>
      </c>
      <c r="B4" s="4">
        <v>46119.625</v>
      </c>
      <c r="C4" s="5">
        <v>26</v>
      </c>
      <c r="D4" s="5">
        <v>18</v>
      </c>
      <c r="E4" s="5">
        <v>1061.0999999999999</v>
      </c>
      <c r="F4" s="5">
        <v>25.69</v>
      </c>
      <c r="G4" s="5"/>
      <c r="H4" s="5">
        <v>68.27</v>
      </c>
      <c r="I4" s="5">
        <v>70.58</v>
      </c>
      <c r="J4" s="5">
        <v>50</v>
      </c>
      <c r="K4" s="5">
        <v>131</v>
      </c>
      <c r="L4" s="5">
        <v>157.41999999999999</v>
      </c>
      <c r="M4" s="5">
        <v>1.28</v>
      </c>
      <c r="N4" s="5">
        <v>33</v>
      </c>
      <c r="O4" s="3"/>
      <c r="P4" s="5">
        <v>107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28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122</v>
      </c>
      <c r="AG4" s="3" t="s">
        <v>30</v>
      </c>
      <c r="AH4" s="3"/>
      <c r="AI4" s="3"/>
      <c r="AJ4" s="3"/>
      <c r="AK4" s="3">
        <v>15.6</v>
      </c>
      <c r="AL4" s="3"/>
      <c r="AM4" s="3"/>
      <c r="AN4" s="3">
        <v>25.73</v>
      </c>
      <c r="AO4" s="3">
        <v>27.76</v>
      </c>
      <c r="AP4" s="3">
        <v>138.85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137</v>
      </c>
      <c r="BS4" s="3" t="s">
        <v>138</v>
      </c>
      <c r="BT4" s="3" t="s">
        <v>139</v>
      </c>
      <c r="BU4" s="3" t="s">
        <v>140</v>
      </c>
      <c r="BV4" s="3" t="s">
        <v>141</v>
      </c>
      <c r="BW4" s="3">
        <v>2</v>
      </c>
      <c r="BX4" s="3" t="s">
        <v>142</v>
      </c>
      <c r="BY4" s="3" t="s">
        <v>143</v>
      </c>
    </row>
    <row r="5" spans="1:77">
      <c r="A5" s="3" t="s">
        <v>153</v>
      </c>
      <c r="B5" s="4">
        <v>46120.333333333336</v>
      </c>
      <c r="C5" s="5">
        <v>43</v>
      </c>
      <c r="D5" s="5">
        <v>18</v>
      </c>
      <c r="E5" s="5">
        <v>1050.7</v>
      </c>
      <c r="F5" s="5">
        <v>34.8</v>
      </c>
      <c r="G5" s="5"/>
      <c r="H5" s="5">
        <v>52.25</v>
      </c>
      <c r="I5" s="5">
        <v>65.459999999999994</v>
      </c>
      <c r="J5" s="5">
        <v>29</v>
      </c>
      <c r="K5" s="5">
        <v>38</v>
      </c>
      <c r="L5" s="5">
        <v>60.16</v>
      </c>
      <c r="M5" s="5">
        <v>2.9</v>
      </c>
      <c r="N5" s="5">
        <v>58</v>
      </c>
      <c r="O5" s="3"/>
      <c r="P5" s="5">
        <v>120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28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122</v>
      </c>
      <c r="AG5" s="3" t="s">
        <v>30</v>
      </c>
      <c r="AH5" s="3"/>
      <c r="AI5" s="3"/>
      <c r="AJ5" s="3"/>
      <c r="AK5" s="3">
        <v>13</v>
      </c>
      <c r="AL5" s="3"/>
      <c r="AM5" s="3"/>
      <c r="AN5" s="3">
        <v>35.71</v>
      </c>
      <c r="AO5" s="3">
        <v>17.2</v>
      </c>
      <c r="AP5" s="3">
        <v>117.71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137</v>
      </c>
      <c r="BS5" s="3" t="s">
        <v>138</v>
      </c>
      <c r="BT5" s="3" t="s">
        <v>139</v>
      </c>
      <c r="BU5" s="3" t="s">
        <v>140</v>
      </c>
      <c r="BV5" s="3" t="s">
        <v>141</v>
      </c>
      <c r="BW5" s="3">
        <v>2</v>
      </c>
      <c r="BX5" s="3" t="s">
        <v>142</v>
      </c>
      <c r="BY5" s="3" t="s">
        <v>143</v>
      </c>
    </row>
    <row r="6" spans="1:77">
      <c r="A6" s="3" t="s">
        <v>156</v>
      </c>
      <c r="B6" s="4">
        <v>46120.625</v>
      </c>
      <c r="C6" s="5">
        <v>50</v>
      </c>
      <c r="D6" s="5">
        <v>18</v>
      </c>
      <c r="E6" s="5">
        <v>1044.3</v>
      </c>
      <c r="F6" s="5">
        <v>58.83</v>
      </c>
      <c r="G6" s="5">
        <v>6.3299999999999912E-2</v>
      </c>
      <c r="H6" s="5">
        <v>45.2</v>
      </c>
      <c r="I6" s="5">
        <v>59.539999999999992</v>
      </c>
      <c r="J6" s="5">
        <v>19</v>
      </c>
      <c r="K6" s="5">
        <v>0</v>
      </c>
      <c r="L6" s="5">
        <v>19</v>
      </c>
      <c r="M6" s="5">
        <v>3.58</v>
      </c>
      <c r="N6" s="5">
        <v>52</v>
      </c>
      <c r="O6" s="3"/>
      <c r="P6" s="5">
        <v>138</v>
      </c>
      <c r="Q6" s="5">
        <v>3.87</v>
      </c>
      <c r="R6" s="3"/>
      <c r="S6" s="3"/>
      <c r="T6" s="3"/>
      <c r="U6" s="3"/>
      <c r="V6" s="3"/>
      <c r="W6" s="3"/>
      <c r="X6" s="3"/>
      <c r="Y6" s="3"/>
      <c r="Z6" s="3"/>
      <c r="AA6" s="3" t="s">
        <v>28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122</v>
      </c>
      <c r="AG6" s="3" t="s">
        <v>30</v>
      </c>
      <c r="AH6" s="3"/>
      <c r="AI6" s="3"/>
      <c r="AJ6" s="3"/>
      <c r="AK6" s="3">
        <v>11.6</v>
      </c>
      <c r="AL6" s="3"/>
      <c r="AM6" s="3"/>
      <c r="AN6" s="3">
        <v>59.52</v>
      </c>
      <c r="AO6" s="3">
        <v>25.68</v>
      </c>
      <c r="AP6" s="3">
        <v>104.74</v>
      </c>
      <c r="AQ6" s="3"/>
      <c r="AR6" s="3">
        <v>4.17</v>
      </c>
      <c r="AS6" s="3">
        <v>3.87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5.5206999999999997</v>
      </c>
      <c r="BB6" s="3">
        <v>5.5839999999999996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3.87</v>
      </c>
      <c r="BK6" s="3">
        <v>12.5</v>
      </c>
      <c r="BL6" s="3">
        <v>897.74264017476332</v>
      </c>
      <c r="BM6" s="3">
        <v>9102.2573598252366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137</v>
      </c>
      <c r="BS6" s="3" t="s">
        <v>138</v>
      </c>
      <c r="BT6" s="3" t="s">
        <v>139</v>
      </c>
      <c r="BU6" s="3" t="s">
        <v>140</v>
      </c>
      <c r="BV6" s="3" t="s">
        <v>141</v>
      </c>
      <c r="BW6" s="3">
        <v>2</v>
      </c>
      <c r="BX6" s="3" t="s">
        <v>142</v>
      </c>
      <c r="BY6" s="3" t="s">
        <v>143</v>
      </c>
    </row>
    <row r="7" spans="1:77">
      <c r="A7" s="3" t="s">
        <v>160</v>
      </c>
      <c r="B7" s="4">
        <v>46121.333333333336</v>
      </c>
      <c r="C7" s="5">
        <v>67</v>
      </c>
      <c r="D7" s="5">
        <v>18</v>
      </c>
      <c r="E7" s="5">
        <v>1032.3</v>
      </c>
      <c r="F7" s="5">
        <v>57.76</v>
      </c>
      <c r="G7" s="5"/>
      <c r="H7" s="5">
        <v>26.84</v>
      </c>
      <c r="I7" s="5">
        <v>48.19</v>
      </c>
      <c r="J7" s="5">
        <v>5</v>
      </c>
      <c r="K7" s="5">
        <v>0</v>
      </c>
      <c r="L7" s="5">
        <v>5</v>
      </c>
      <c r="M7" s="5">
        <v>4.47</v>
      </c>
      <c r="N7" s="5">
        <v>35</v>
      </c>
      <c r="O7" s="3"/>
      <c r="P7" s="5">
        <v>126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28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122</v>
      </c>
      <c r="AG7" s="3" t="s">
        <v>30</v>
      </c>
      <c r="AH7" s="3" t="s">
        <v>162</v>
      </c>
      <c r="AI7" s="3">
        <v>51</v>
      </c>
      <c r="AJ7" s="3" t="s">
        <v>163</v>
      </c>
      <c r="AK7" s="3">
        <v>8.5</v>
      </c>
      <c r="AL7" s="3"/>
      <c r="AM7" s="3"/>
      <c r="AN7" s="3">
        <v>57.91</v>
      </c>
      <c r="AO7" s="3">
        <v>22.81</v>
      </c>
      <c r="AP7" s="3">
        <v>75.03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137</v>
      </c>
      <c r="BS7" s="3" t="s">
        <v>138</v>
      </c>
      <c r="BT7" s="3" t="s">
        <v>139</v>
      </c>
      <c r="BU7" s="3" t="s">
        <v>140</v>
      </c>
      <c r="BV7" s="3" t="s">
        <v>141</v>
      </c>
      <c r="BW7" s="3">
        <v>2</v>
      </c>
      <c r="BX7" s="3" t="s">
        <v>142</v>
      </c>
      <c r="BY7" s="3" t="s">
        <v>143</v>
      </c>
    </row>
    <row r="8" spans="1:77">
      <c r="A8" s="3" t="s">
        <v>578</v>
      </c>
      <c r="B8" s="4">
        <f>B7+1/24</f>
        <v>46121.375</v>
      </c>
      <c r="C8" s="5">
        <v>68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t="n">
        <v>68.5</v>
      </c>
    </row>
    <row r="9" spans="1:77">
      <c r="A9" s="3" t="s">
        <v>165</v>
      </c>
      <c r="B9" s="4">
        <v>46121.625</v>
      </c>
      <c r="C9" s="5">
        <v>74</v>
      </c>
      <c r="D9" s="5">
        <v>18</v>
      </c>
      <c r="E9" s="5">
        <v>1022.5</v>
      </c>
      <c r="F9" s="5">
        <v>56.3</v>
      </c>
      <c r="G9" s="5"/>
      <c r="H9" s="5">
        <v>18.850000000000001</v>
      </c>
      <c r="I9" s="5">
        <v>38.6</v>
      </c>
      <c r="J9" s="5">
        <v>17</v>
      </c>
      <c r="K9" s="5">
        <v>23</v>
      </c>
      <c r="L9" s="5">
        <v>35.86</v>
      </c>
      <c r="M9" s="5">
        <v>4.43</v>
      </c>
      <c r="N9" s="5">
        <v>37</v>
      </c>
      <c r="O9" s="3"/>
      <c r="P9" s="5">
        <v>127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28</v>
      </c>
      <c r="AB9" s="3">
        <v>46269.625</v>
      </c>
      <c r="AC9" s="3" t="s">
        <v>166</v>
      </c>
      <c r="AD9" s="3" t="s">
        <v>29</v>
      </c>
      <c r="AE9" s="5" t="s">
        <v>121</v>
      </c>
      <c r="AF9" s="5" t="s">
        <v>122</v>
      </c>
      <c r="AG9" s="3" t="s">
        <v>30</v>
      </c>
      <c r="AH9" s="3"/>
      <c r="AI9" s="3"/>
      <c r="AJ9" s="3"/>
      <c r="AK9" s="3">
        <v>6.1</v>
      </c>
      <c r="AL9" s="3"/>
      <c r="AM9" s="3"/>
      <c r="AN9" s="3">
        <v>56.37</v>
      </c>
      <c r="AO9" s="3">
        <v>23.02</v>
      </c>
      <c r="AP9" s="3">
        <v>57.45</v>
      </c>
      <c r="AQ9" s="3"/>
      <c r="AR9" s="3"/>
      <c r="AS9" s="3">
        <v>-0.3</v>
      </c>
      <c r="AT9" s="5" t="s">
        <v>146</v>
      </c>
      <c r="AU9" s="3" t="s">
        <v>167</v>
      </c>
      <c r="AV9" s="3" t="s">
        <v>127</v>
      </c>
      <c r="AW9" s="3">
        <v>15</v>
      </c>
      <c r="AX9" s="3" t="s">
        <v>148</v>
      </c>
      <c r="AY9" s="3" t="s">
        <v>149</v>
      </c>
      <c r="AZ9" s="3" t="s">
        <v>130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136</v>
      </c>
      <c r="BR9" s="3" t="s">
        <v>137</v>
      </c>
      <c r="BS9" s="3" t="s">
        <v>138</v>
      </c>
      <c r="BT9" s="3" t="s">
        <v>139</v>
      </c>
      <c r="BU9" s="3" t="s">
        <v>140</v>
      </c>
      <c r="BV9" s="3" t="s">
        <v>141</v>
      </c>
      <c r="BW9" s="3">
        <v>2</v>
      </c>
      <c r="BX9" s="3" t="s">
        <v>142</v>
      </c>
      <c r="BY9" s="3" t="s">
        <v>143</v>
      </c>
    </row>
    <row r="10" spans="1:77">
      <c r="A10" s="3" t="s">
        <v>168</v>
      </c>
      <c r="B10" s="4">
        <v>46122.333333333336</v>
      </c>
      <c r="C10" s="5">
        <v>91</v>
      </c>
      <c r="D10" s="5">
        <v>18</v>
      </c>
      <c r="E10" s="5">
        <v>1014.3</v>
      </c>
      <c r="F10" s="5">
        <v>65.209999999999994</v>
      </c>
      <c r="G10" s="5">
        <v>0.10492999999999952</v>
      </c>
      <c r="H10" s="5">
        <v>8.7200000000000006</v>
      </c>
      <c r="I10" s="5">
        <v>27.939999999999998</v>
      </c>
      <c r="J10" s="5">
        <v>9</v>
      </c>
      <c r="K10" s="5">
        <v>0</v>
      </c>
      <c r="L10" s="5">
        <v>9</v>
      </c>
      <c r="M10" s="5">
        <v>5.7</v>
      </c>
      <c r="N10" s="5">
        <v>30</v>
      </c>
      <c r="O10" s="3"/>
      <c r="P10" s="5">
        <v>128</v>
      </c>
      <c r="Q10" s="5">
        <v>8.0699999999999985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28</v>
      </c>
      <c r="AB10" s="3">
        <v>46299.333333333336</v>
      </c>
      <c r="AC10" s="3" t="s">
        <v>169</v>
      </c>
      <c r="AD10" s="3" t="s">
        <v>29</v>
      </c>
      <c r="AE10" s="5" t="s">
        <v>121</v>
      </c>
      <c r="AF10" s="5" t="s">
        <v>122</v>
      </c>
      <c r="AG10" s="3" t="s">
        <v>30</v>
      </c>
      <c r="AH10" s="3"/>
      <c r="AI10" s="3"/>
      <c r="AJ10" s="3"/>
      <c r="AK10" s="3">
        <v>4.0999999999999996</v>
      </c>
      <c r="AL10" s="3"/>
      <c r="AM10" s="3"/>
      <c r="AN10" s="3">
        <v>65.819999999999993</v>
      </c>
      <c r="AO10" s="3">
        <v>17.04</v>
      </c>
      <c r="AP10" s="3">
        <v>36.659999999999997</v>
      </c>
      <c r="AQ10" s="3"/>
      <c r="AR10" s="3">
        <v>8.3699999999999992</v>
      </c>
      <c r="AS10" s="3">
        <v>8.0699999999999985</v>
      </c>
      <c r="AT10" s="5" t="s">
        <v>125</v>
      </c>
      <c r="AU10" s="3" t="s">
        <v>170</v>
      </c>
      <c r="AV10" s="3" t="s">
        <v>127</v>
      </c>
      <c r="AW10" s="3">
        <v>50</v>
      </c>
      <c r="AX10" s="3" t="s">
        <v>128</v>
      </c>
      <c r="AY10" s="3" t="s">
        <v>159</v>
      </c>
      <c r="AZ10" s="3" t="s">
        <v>130</v>
      </c>
      <c r="BA10" s="3">
        <v>5.5430700000000002</v>
      </c>
      <c r="BB10" s="3">
        <v>5.6479999999999997</v>
      </c>
      <c r="BC10" s="3" t="s">
        <v>131</v>
      </c>
      <c r="BD10" s="3" t="s">
        <v>132</v>
      </c>
      <c r="BE10" s="3" t="s">
        <v>133</v>
      </c>
      <c r="BF10" s="3"/>
      <c r="BG10" s="3"/>
      <c r="BH10" s="3">
        <v>10</v>
      </c>
      <c r="BI10" s="3">
        <v>0</v>
      </c>
      <c r="BJ10" s="3">
        <v>8.0699999999999985</v>
      </c>
      <c r="BK10" s="3">
        <v>12.5</v>
      </c>
      <c r="BL10" s="3">
        <v>481.88839334276088</v>
      </c>
      <c r="BM10" s="3">
        <v>9518.1116066572395</v>
      </c>
      <c r="BN10" s="5">
        <v>2026</v>
      </c>
      <c r="BO10" s="3" t="s">
        <v>134</v>
      </c>
      <c r="BP10" s="3" t="s">
        <v>135</v>
      </c>
      <c r="BQ10" s="3" t="s">
        <v>136</v>
      </c>
      <c r="BR10" s="3" t="s">
        <v>137</v>
      </c>
      <c r="BS10" s="3" t="s">
        <v>138</v>
      </c>
      <c r="BT10" s="3" t="s">
        <v>139</v>
      </c>
      <c r="BU10" s="3" t="s">
        <v>140</v>
      </c>
      <c r="BV10" s="3" t="s">
        <v>141</v>
      </c>
      <c r="BW10" s="3">
        <v>2</v>
      </c>
      <c r="BX10" s="3" t="s">
        <v>142</v>
      </c>
      <c r="BY10" s="3" t="s">
        <v>143</v>
      </c>
    </row>
    <row r="11" spans="1:77">
      <c r="A11" s="3" t="s">
        <v>171</v>
      </c>
      <c r="B11" s="4">
        <v>46122.625</v>
      </c>
      <c r="C11" s="5">
        <v>98</v>
      </c>
      <c r="D11" s="5">
        <v>18</v>
      </c>
      <c r="E11" s="5">
        <v>1009.3</v>
      </c>
      <c r="F11" s="5">
        <v>68.05</v>
      </c>
      <c r="G11" s="5"/>
      <c r="H11" s="5">
        <v>5.28</v>
      </c>
      <c r="I11" s="5">
        <v>23.02</v>
      </c>
      <c r="J11" s="5">
        <v>7</v>
      </c>
      <c r="K11" s="5">
        <v>0</v>
      </c>
      <c r="L11" s="5">
        <v>7</v>
      </c>
      <c r="M11" s="5">
        <v>5.68</v>
      </c>
      <c r="N11" s="5">
        <v>32</v>
      </c>
      <c r="O11" s="3"/>
      <c r="P11" s="5">
        <v>112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28</v>
      </c>
      <c r="AB11" s="3">
        <v>46299.625</v>
      </c>
      <c r="AC11" s="3" t="s">
        <v>172</v>
      </c>
      <c r="AD11" s="3" t="s">
        <v>29</v>
      </c>
      <c r="AE11" s="5" t="s">
        <v>121</v>
      </c>
      <c r="AF11" s="5" t="s">
        <v>122</v>
      </c>
      <c r="AG11" s="3" t="s">
        <v>30</v>
      </c>
      <c r="AH11" s="3"/>
      <c r="AI11" s="3"/>
      <c r="AJ11" s="3"/>
      <c r="AK11" s="3">
        <v>2.9</v>
      </c>
      <c r="AL11" s="3"/>
      <c r="AM11" s="3"/>
      <c r="AN11" s="3">
        <v>69.510000000000005</v>
      </c>
      <c r="AO11" s="3">
        <v>9.61</v>
      </c>
      <c r="AP11" s="3">
        <v>28.3</v>
      </c>
      <c r="AQ11" s="3"/>
      <c r="AR11" s="3"/>
      <c r="AS11" s="3">
        <v>-0.3</v>
      </c>
      <c r="AT11" s="5" t="s">
        <v>146</v>
      </c>
      <c r="AU11" s="3" t="s">
        <v>173</v>
      </c>
      <c r="AV11" s="3" t="s">
        <v>127</v>
      </c>
      <c r="AW11" s="3">
        <v>15</v>
      </c>
      <c r="AX11" s="3" t="s">
        <v>148</v>
      </c>
      <c r="AY11" s="3" t="s">
        <v>149</v>
      </c>
      <c r="AZ11" s="3" t="s">
        <v>130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137</v>
      </c>
      <c r="BS11" s="3" t="s">
        <v>138</v>
      </c>
      <c r="BT11" s="3" t="s">
        <v>139</v>
      </c>
      <c r="BU11" s="3" t="s">
        <v>140</v>
      </c>
      <c r="BV11" s="3" t="s">
        <v>141</v>
      </c>
      <c r="BW11" s="3">
        <v>2</v>
      </c>
      <c r="BX11" s="3" t="s">
        <v>142</v>
      </c>
      <c r="BY11" s="3" t="s">
        <v>143</v>
      </c>
    </row>
    <row r="12" spans="1:77">
      <c r="A12" s="3" t="s">
        <v>174</v>
      </c>
      <c r="B12" s="4">
        <v>46123.333333333336</v>
      </c>
      <c r="C12" s="5">
        <v>115</v>
      </c>
      <c r="D12" s="5">
        <v>21</v>
      </c>
      <c r="E12" s="5">
        <v>998.8</v>
      </c>
      <c r="F12" s="5"/>
      <c r="G12" s="5"/>
      <c r="H12" s="5">
        <v>0.46</v>
      </c>
      <c r="I12" s="5">
        <v>6.19</v>
      </c>
      <c r="J12" s="5">
        <v>43</v>
      </c>
      <c r="K12" s="5">
        <v>0</v>
      </c>
      <c r="L12" s="5">
        <v>43</v>
      </c>
      <c r="M12" s="5">
        <v>6.62</v>
      </c>
      <c r="N12" s="5">
        <v>23</v>
      </c>
      <c r="O12" s="3"/>
      <c r="P12" s="5">
        <v>104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28</v>
      </c>
      <c r="AB12" s="3">
        <v>46330.333333333336</v>
      </c>
      <c r="AC12" s="3" t="s">
        <v>175</v>
      </c>
      <c r="AD12" s="3" t="s">
        <v>29</v>
      </c>
      <c r="AE12" s="5" t="s">
        <v>176</v>
      </c>
      <c r="AF12" s="5" t="s">
        <v>177</v>
      </c>
      <c r="AG12" s="3" t="s">
        <v>30</v>
      </c>
      <c r="AH12" s="3"/>
      <c r="AI12" s="3"/>
      <c r="AJ12" s="3"/>
      <c r="AK12" s="3">
        <v>0.3</v>
      </c>
      <c r="AL12" s="3"/>
      <c r="AM12" s="3"/>
      <c r="AN12" s="3"/>
      <c r="AO12" s="3"/>
      <c r="AP12" s="3">
        <v>6.65</v>
      </c>
      <c r="AQ12" s="3"/>
      <c r="AR12" s="3"/>
      <c r="AS12" s="3">
        <v>-0.3</v>
      </c>
      <c r="AT12" s="5" t="s">
        <v>146</v>
      </c>
      <c r="AU12" s="3" t="s">
        <v>178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137</v>
      </c>
      <c r="BS12" s="3" t="s">
        <v>138</v>
      </c>
      <c r="BT12" s="3" t="s">
        <v>139</v>
      </c>
      <c r="BU12" s="3" t="s">
        <v>140</v>
      </c>
      <c r="BV12" s="3" t="s">
        <v>141</v>
      </c>
      <c r="BW12" s="3">
        <v>2</v>
      </c>
      <c r="BX12" s="3" t="s">
        <v>142</v>
      </c>
      <c r="BY12" s="3" t="s">
        <v>143</v>
      </c>
    </row>
    <row r="13" spans="1:77">
      <c r="A13" s="3" t="s">
        <v>179</v>
      </c>
      <c r="B13" s="4">
        <v>46123.625</v>
      </c>
      <c r="C13" s="5">
        <v>122</v>
      </c>
      <c r="D13" s="5">
        <v>21</v>
      </c>
      <c r="E13" s="5">
        <v>994.4</v>
      </c>
      <c r="F13" s="5">
        <v>68.05</v>
      </c>
      <c r="G13" s="5"/>
      <c r="H13" s="5">
        <v>0.15</v>
      </c>
      <c r="I13" s="5">
        <v>3.54</v>
      </c>
      <c r="J13" s="5">
        <v>11</v>
      </c>
      <c r="K13" s="5">
        <v>0</v>
      </c>
      <c r="L13" s="5">
        <v>11</v>
      </c>
      <c r="M13" s="5">
        <v>6.4</v>
      </c>
      <c r="N13" s="5">
        <v>21</v>
      </c>
      <c r="O13" s="3"/>
      <c r="P13" s="5">
        <v>107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28</v>
      </c>
      <c r="AB13" s="3">
        <v>46330.625</v>
      </c>
      <c r="AC13" s="3" t="s">
        <v>180</v>
      </c>
      <c r="AD13" s="3" t="s">
        <v>29</v>
      </c>
      <c r="AE13" s="5" t="s">
        <v>176</v>
      </c>
      <c r="AF13" s="5" t="s">
        <v>177</v>
      </c>
      <c r="AG13" s="3" t="s">
        <v>30</v>
      </c>
      <c r="AH13" s="3"/>
      <c r="AI13" s="3"/>
      <c r="AJ13" s="3"/>
      <c r="AK13" s="3">
        <v>-0.9</v>
      </c>
      <c r="AL13" s="3"/>
      <c r="AM13" s="3"/>
      <c r="AN13" s="3">
        <v>70.12</v>
      </c>
      <c r="AO13" s="3">
        <v>8.8699999999999992</v>
      </c>
      <c r="AP13" s="3">
        <v>3.69</v>
      </c>
      <c r="AQ13" s="3"/>
      <c r="AR13" s="3"/>
      <c r="AS13" s="3">
        <v>-0.3</v>
      </c>
      <c r="AT13" s="5" t="s">
        <v>146</v>
      </c>
      <c r="AU13" s="3" t="s">
        <v>181</v>
      </c>
      <c r="AV13" s="3" t="s">
        <v>127</v>
      </c>
      <c r="AW13" s="3">
        <v>15</v>
      </c>
      <c r="AX13" s="3" t="s">
        <v>148</v>
      </c>
      <c r="AY13" s="3" t="s">
        <v>149</v>
      </c>
      <c r="AZ13" s="3" t="s">
        <v>130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137</v>
      </c>
      <c r="BS13" s="3" t="s">
        <v>138</v>
      </c>
      <c r="BT13" s="3" t="s">
        <v>139</v>
      </c>
      <c r="BU13" s="3" t="s">
        <v>140</v>
      </c>
      <c r="BV13" s="3" t="s">
        <v>141</v>
      </c>
      <c r="BW13" s="3">
        <v>2</v>
      </c>
      <c r="BX13" s="3" t="s">
        <v>142</v>
      </c>
      <c r="BY13" s="3" t="s">
        <v>143</v>
      </c>
    </row>
    <row r="14" spans="1:77">
      <c r="A14" s="3" t="s">
        <v>182</v>
      </c>
      <c r="B14" s="4">
        <v>46124.625</v>
      </c>
      <c r="C14" s="5">
        <v>146</v>
      </c>
      <c r="D14" s="5">
        <v>21</v>
      </c>
      <c r="E14" s="5">
        <v>994.9</v>
      </c>
      <c r="F14" s="5"/>
      <c r="G14" s="5">
        <v>0.10000000000000053</v>
      </c>
      <c r="H14" s="5">
        <v>0.04</v>
      </c>
      <c r="I14" s="5">
        <v>0.10999999999999999</v>
      </c>
      <c r="J14" s="5">
        <v>25</v>
      </c>
      <c r="K14" s="5">
        <v>0</v>
      </c>
      <c r="L14" s="5">
        <v>25</v>
      </c>
      <c r="M14" s="5">
        <v>6.15</v>
      </c>
      <c r="N14" s="5">
        <v>19</v>
      </c>
      <c r="O14" s="3"/>
      <c r="P14" s="5">
        <v>106</v>
      </c>
      <c r="Q14" s="5">
        <v>10.58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28</v>
      </c>
      <c r="AB14" s="3">
        <v>46360.625</v>
      </c>
      <c r="AC14" s="3" t="s">
        <v>183</v>
      </c>
      <c r="AD14" s="3" t="s">
        <v>29</v>
      </c>
      <c r="AE14" s="5" t="s">
        <v>176</v>
      </c>
      <c r="AF14" s="5" t="s">
        <v>177</v>
      </c>
      <c r="AG14" s="3" t="s">
        <v>30</v>
      </c>
      <c r="AH14" s="3"/>
      <c r="AI14" s="3"/>
      <c r="AJ14" s="3"/>
      <c r="AK14" s="3">
        <v>22.6</v>
      </c>
      <c r="AL14" s="3"/>
      <c r="AM14" s="3"/>
      <c r="AN14" s="3"/>
      <c r="AO14" s="3"/>
      <c r="AP14" s="3">
        <v>0.15</v>
      </c>
      <c r="AQ14" s="3"/>
      <c r="AR14" s="3">
        <v>10.88</v>
      </c>
      <c r="AS14" s="3">
        <v>10.58</v>
      </c>
      <c r="AT14" s="5" t="s">
        <v>125</v>
      </c>
      <c r="AU14" s="3" t="s">
        <v>184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5.56</v>
      </c>
      <c r="BB14" s="3">
        <v>5.66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10.58</v>
      </c>
      <c r="BK14" s="3">
        <v>12.5</v>
      </c>
      <c r="BL14" s="3">
        <v>214.71706553343776</v>
      </c>
      <c r="BM14" s="3">
        <v>9785.2829344665624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137</v>
      </c>
      <c r="BS14" s="3" t="s">
        <v>138</v>
      </c>
      <c r="BT14" s="3" t="s">
        <v>139</v>
      </c>
      <c r="BU14" s="3" t="s">
        <v>140</v>
      </c>
      <c r="BV14" s="3" t="s">
        <v>141</v>
      </c>
      <c r="BW14" s="3">
        <v>2</v>
      </c>
      <c r="BX14" s="3" t="s">
        <v>142</v>
      </c>
      <c r="BY14" s="3" t="s">
        <v>143</v>
      </c>
    </row>
    <row r="15" spans="1:77">
      <c r="A15" s="3" t="s">
        <v>185</v>
      </c>
      <c r="B15" s="4">
        <v>46125.333333333336</v>
      </c>
      <c r="C15" s="5">
        <v>163</v>
      </c>
      <c r="D15" s="5">
        <v>21</v>
      </c>
      <c r="E15" s="5">
        <v>994.9</v>
      </c>
      <c r="F15" s="5">
        <v>70.89</v>
      </c>
      <c r="G15" s="5">
        <v>8.8999999999999524E-2</v>
      </c>
      <c r="H15" s="5">
        <v>0</v>
      </c>
      <c r="I15" s="5">
        <v>0.06</v>
      </c>
      <c r="J15" s="5">
        <v>26</v>
      </c>
      <c r="K15" s="5">
        <v>3</v>
      </c>
      <c r="L15" s="5">
        <v>28.46</v>
      </c>
      <c r="M15" s="5">
        <v>6.28</v>
      </c>
      <c r="N15" s="5">
        <v>22</v>
      </c>
      <c r="O15" s="3"/>
      <c r="P15" s="5">
        <v>93</v>
      </c>
      <c r="Q15" s="5">
        <v>10.44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28</v>
      </c>
      <c r="AB15" s="3" t="s">
        <v>186</v>
      </c>
      <c r="AC15" s="3" t="s">
        <v>187</v>
      </c>
      <c r="AD15" s="3" t="s">
        <v>29</v>
      </c>
      <c r="AE15" s="5" t="s">
        <v>176</v>
      </c>
      <c r="AF15" s="5" t="s">
        <v>177</v>
      </c>
      <c r="AG15" s="3" t="s">
        <v>30</v>
      </c>
      <c r="AH15" s="3"/>
      <c r="AI15" s="3"/>
      <c r="AJ15" s="3"/>
      <c r="AK15" s="3">
        <v>-0.8</v>
      </c>
      <c r="AL15" s="3"/>
      <c r="AM15" s="3"/>
      <c r="AN15" s="3">
        <v>71.430000000000007</v>
      </c>
      <c r="AO15" s="3">
        <v>19.89</v>
      </c>
      <c r="AP15" s="3">
        <v>0.06</v>
      </c>
      <c r="AQ15" s="3"/>
      <c r="AR15" s="3">
        <v>10.74</v>
      </c>
      <c r="AS15" s="3">
        <v>10.44</v>
      </c>
      <c r="AT15" s="5" t="s">
        <v>125</v>
      </c>
      <c r="AU15" s="3" t="s">
        <v>188</v>
      </c>
      <c r="AV15" s="3" t="s">
        <v>127</v>
      </c>
      <c r="AW15" s="3">
        <v>50</v>
      </c>
      <c r="AX15" s="3" t="s">
        <v>128</v>
      </c>
      <c r="AY15" s="3" t="s">
        <v>159</v>
      </c>
      <c r="AZ15" s="3" t="s">
        <v>130</v>
      </c>
      <c r="BA15" s="3">
        <v>5.556</v>
      </c>
      <c r="BB15" s="3">
        <v>5.6449999999999996</v>
      </c>
      <c r="BC15" s="3" t="s">
        <v>131</v>
      </c>
      <c r="BD15" s="3" t="s">
        <v>132</v>
      </c>
      <c r="BE15" s="3" t="s">
        <v>133</v>
      </c>
      <c r="BF15" s="3"/>
      <c r="BG15" s="3"/>
      <c r="BH15" s="3">
        <v>10</v>
      </c>
      <c r="BI15" s="3">
        <v>0</v>
      </c>
      <c r="BJ15" s="3">
        <v>10.44</v>
      </c>
      <c r="BK15" s="3">
        <v>12.5</v>
      </c>
      <c r="BL15" s="3">
        <v>230.01339883876739</v>
      </c>
      <c r="BM15" s="3">
        <v>9769.9866011612321</v>
      </c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137</v>
      </c>
      <c r="BS15" s="3" t="s">
        <v>138</v>
      </c>
      <c r="BT15" s="3" t="s">
        <v>139</v>
      </c>
      <c r="BU15" s="3" t="s">
        <v>140</v>
      </c>
      <c r="BV15" s="3" t="s">
        <v>141</v>
      </c>
      <c r="BW15" s="3">
        <v>2</v>
      </c>
      <c r="BX15" s="3" t="s">
        <v>142</v>
      </c>
      <c r="BY15" s="3" t="s">
        <v>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5"/>
  <sheetViews>
    <sheetView workbookViewId="0">
      <selection activeCell="Q13" sqref="Q13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  <col min="78" max="78" width="14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t="inlineStr">
        <is>
          <t>pulso real</t>
        </is>
      </c>
    </row>
    <row r="2" spans="1:77">
      <c r="A2" s="3" t="s">
        <v>189</v>
      </c>
      <c r="B2" s="4">
        <v>46118.541666666664</v>
      </c>
      <c r="C2" s="5">
        <v>0</v>
      </c>
      <c r="D2" s="5">
        <v>18</v>
      </c>
      <c r="E2" s="5">
        <v>1066.7</v>
      </c>
      <c r="F2" s="5">
        <v>16.440000000000001</v>
      </c>
      <c r="G2" s="5">
        <v>5.9899999999999842E-2</v>
      </c>
      <c r="H2" s="5">
        <v>77.709999999999994</v>
      </c>
      <c r="I2" s="5">
        <v>87.95</v>
      </c>
      <c r="J2" s="5">
        <v>92</v>
      </c>
      <c r="K2" s="5">
        <v>165</v>
      </c>
      <c r="L2" s="5">
        <v>227.29999999999998</v>
      </c>
      <c r="M2" s="5">
        <v>1.0900000000000001</v>
      </c>
      <c r="N2" s="5">
        <v>6</v>
      </c>
      <c r="O2" s="3"/>
      <c r="P2" s="5">
        <v>52</v>
      </c>
      <c r="Q2" s="5">
        <v>1.24</v>
      </c>
      <c r="R2" s="3"/>
      <c r="S2" s="3"/>
      <c r="T2" s="3"/>
      <c r="U2" s="3"/>
      <c r="V2" s="3"/>
      <c r="W2" s="3"/>
      <c r="X2" s="3"/>
      <c r="Y2" s="3"/>
      <c r="Z2" s="3"/>
      <c r="AA2" s="3" t="s">
        <v>31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122</v>
      </c>
      <c r="AG2" s="3" t="s">
        <v>30</v>
      </c>
      <c r="AH2" s="3" t="s">
        <v>190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16.97</v>
      </c>
      <c r="AO2" s="3">
        <v>25.34</v>
      </c>
      <c r="AP2" s="3">
        <v>165.66</v>
      </c>
      <c r="AQ2" s="3"/>
      <c r="AR2" s="3">
        <v>1.54</v>
      </c>
      <c r="AS2" s="3">
        <v>1.24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5.4591000000000003</v>
      </c>
      <c r="BB2" s="3">
        <v>5.5190000000000001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1.24</v>
      </c>
      <c r="BK2" s="3">
        <v>12.5</v>
      </c>
      <c r="BL2" s="3">
        <v>1140.1377075739165</v>
      </c>
      <c r="BM2" s="3">
        <v>8859.8622924260835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191</v>
      </c>
      <c r="BS2" s="3" t="s">
        <v>138</v>
      </c>
      <c r="BT2" s="3" t="s">
        <v>192</v>
      </c>
      <c r="BU2" s="3" t="s">
        <v>140</v>
      </c>
      <c r="BV2" s="3" t="s">
        <v>141</v>
      </c>
      <c r="BW2" s="3">
        <v>2</v>
      </c>
      <c r="BX2" s="3" t="s">
        <v>193</v>
      </c>
      <c r="BY2" s="3" t="s">
        <v>143</v>
      </c>
    </row>
    <row r="3" spans="1:77">
      <c r="A3" s="3" t="s">
        <v>194</v>
      </c>
      <c r="B3" s="4">
        <v>46119.333333333336</v>
      </c>
      <c r="C3" s="5">
        <v>19</v>
      </c>
      <c r="D3" s="5">
        <v>18</v>
      </c>
      <c r="E3" s="5">
        <v>1064.4000000000001</v>
      </c>
      <c r="F3" s="5">
        <v>21.54</v>
      </c>
      <c r="G3" s="5"/>
      <c r="H3" s="5">
        <v>70.760000000000005</v>
      </c>
      <c r="I3" s="5">
        <v>71.95</v>
      </c>
      <c r="J3" s="5">
        <v>71</v>
      </c>
      <c r="K3" s="5">
        <v>147</v>
      </c>
      <c r="L3" s="5">
        <v>191.54</v>
      </c>
      <c r="M3" s="5">
        <v>8.19</v>
      </c>
      <c r="N3" s="5">
        <v>22</v>
      </c>
      <c r="O3" s="3"/>
      <c r="P3" s="5">
        <v>121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31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122</v>
      </c>
      <c r="AG3" s="3" t="s">
        <v>30</v>
      </c>
      <c r="AH3" s="3"/>
      <c r="AI3" s="3"/>
      <c r="AJ3" s="3"/>
      <c r="AK3" s="3">
        <v>16.3</v>
      </c>
      <c r="AL3" s="3"/>
      <c r="AM3" s="3"/>
      <c r="AN3" s="3">
        <v>21.7</v>
      </c>
      <c r="AO3" s="3">
        <v>32.04</v>
      </c>
      <c r="AP3" s="3">
        <v>142.71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191</v>
      </c>
      <c r="BS3" s="3" t="s">
        <v>138</v>
      </c>
      <c r="BT3" s="3" t="s">
        <v>192</v>
      </c>
      <c r="BU3" s="3" t="s">
        <v>140</v>
      </c>
      <c r="BV3" s="3" t="s">
        <v>141</v>
      </c>
      <c r="BW3" s="3">
        <v>2</v>
      </c>
      <c r="BX3" s="3" t="s">
        <v>193</v>
      </c>
      <c r="BY3" s="3" t="s">
        <v>143</v>
      </c>
    </row>
    <row r="4" spans="1:77">
      <c r="A4" s="3" t="s">
        <v>195</v>
      </c>
      <c r="B4" s="4">
        <v>46119.625</v>
      </c>
      <c r="C4" s="5">
        <v>26</v>
      </c>
      <c r="D4" s="5">
        <v>18</v>
      </c>
      <c r="E4" s="5">
        <v>1060.9000000000001</v>
      </c>
      <c r="F4" s="5">
        <v>25.35</v>
      </c>
      <c r="G4" s="5"/>
      <c r="H4" s="5">
        <v>66.58</v>
      </c>
      <c r="I4" s="5">
        <v>71.73</v>
      </c>
      <c r="J4" s="5">
        <v>50</v>
      </c>
      <c r="K4" s="5">
        <v>132</v>
      </c>
      <c r="L4" s="5">
        <v>158.24</v>
      </c>
      <c r="M4" s="5">
        <v>1.28</v>
      </c>
      <c r="N4" s="5">
        <v>41</v>
      </c>
      <c r="O4" s="3"/>
      <c r="P4" s="5">
        <v>112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31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122</v>
      </c>
      <c r="AG4" s="3" t="s">
        <v>30</v>
      </c>
      <c r="AH4" s="3"/>
      <c r="AI4" s="3"/>
      <c r="AJ4" s="3"/>
      <c r="AK4" s="3">
        <v>15.6</v>
      </c>
      <c r="AL4" s="3"/>
      <c r="AM4" s="3"/>
      <c r="AN4" s="3">
        <v>25.42</v>
      </c>
      <c r="AO4" s="3">
        <v>33.229999999999997</v>
      </c>
      <c r="AP4" s="3">
        <v>138.31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191</v>
      </c>
      <c r="BS4" s="3" t="s">
        <v>138</v>
      </c>
      <c r="BT4" s="3" t="s">
        <v>192</v>
      </c>
      <c r="BU4" s="3" t="s">
        <v>140</v>
      </c>
      <c r="BV4" s="3" t="s">
        <v>141</v>
      </c>
      <c r="BW4" s="3">
        <v>2</v>
      </c>
      <c r="BX4" s="3" t="s">
        <v>193</v>
      </c>
      <c r="BY4" s="3" t="s">
        <v>143</v>
      </c>
    </row>
    <row r="5" spans="1:77">
      <c r="A5" s="3" t="s">
        <v>196</v>
      </c>
      <c r="B5" s="4">
        <v>46120.333333333336</v>
      </c>
      <c r="C5" s="5">
        <v>43</v>
      </c>
      <c r="D5" s="5">
        <v>18</v>
      </c>
      <c r="E5" s="5">
        <v>1050.3</v>
      </c>
      <c r="F5" s="5">
        <v>51.92</v>
      </c>
      <c r="G5" s="5"/>
      <c r="H5" s="5">
        <v>49.85</v>
      </c>
      <c r="I5" s="5">
        <v>61.559999999999995</v>
      </c>
      <c r="J5" s="5">
        <v>27</v>
      </c>
      <c r="K5" s="5">
        <v>32</v>
      </c>
      <c r="L5" s="5">
        <v>53.239999999999995</v>
      </c>
      <c r="M5" s="5">
        <v>2.87</v>
      </c>
      <c r="N5" s="5">
        <v>53</v>
      </c>
      <c r="O5" s="3"/>
      <c r="P5" s="5">
        <v>121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31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122</v>
      </c>
      <c r="AG5" s="3" t="s">
        <v>30</v>
      </c>
      <c r="AH5" s="3"/>
      <c r="AI5" s="3"/>
      <c r="AJ5" s="3"/>
      <c r="AK5" s="3">
        <v>12.9</v>
      </c>
      <c r="AL5" s="3"/>
      <c r="AM5" s="3"/>
      <c r="AN5" s="3">
        <v>52.69</v>
      </c>
      <c r="AO5" s="3">
        <v>19.100000000000001</v>
      </c>
      <c r="AP5" s="3">
        <v>111.41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191</v>
      </c>
      <c r="BS5" s="3" t="s">
        <v>138</v>
      </c>
      <c r="BT5" s="3" t="s">
        <v>192</v>
      </c>
      <c r="BU5" s="3" t="s">
        <v>140</v>
      </c>
      <c r="BV5" s="3" t="s">
        <v>141</v>
      </c>
      <c r="BW5" s="3">
        <v>2</v>
      </c>
      <c r="BX5" s="3" t="s">
        <v>193</v>
      </c>
      <c r="BY5" s="3" t="s">
        <v>143</v>
      </c>
    </row>
    <row r="6" spans="1:77">
      <c r="A6" s="3" t="s">
        <v>197</v>
      </c>
      <c r="B6" s="4">
        <v>46120.625</v>
      </c>
      <c r="C6" s="5">
        <v>50</v>
      </c>
      <c r="D6" s="5">
        <v>18</v>
      </c>
      <c r="E6" s="5">
        <v>1043.8</v>
      </c>
      <c r="F6" s="5">
        <v>57.22</v>
      </c>
      <c r="G6" s="5">
        <v>0.1225000000000005</v>
      </c>
      <c r="H6" s="5">
        <v>44.05</v>
      </c>
      <c r="I6" s="5">
        <v>60.540000000000006</v>
      </c>
      <c r="J6" s="5">
        <v>19</v>
      </c>
      <c r="K6" s="5">
        <v>0</v>
      </c>
      <c r="L6" s="5">
        <v>19</v>
      </c>
      <c r="M6" s="5">
        <v>3.58</v>
      </c>
      <c r="N6" s="5">
        <v>45</v>
      </c>
      <c r="O6" s="3"/>
      <c r="P6" s="5">
        <v>141</v>
      </c>
      <c r="Q6" s="5">
        <v>3.96</v>
      </c>
      <c r="R6" s="3"/>
      <c r="S6" s="3"/>
      <c r="T6" s="3"/>
      <c r="U6" s="3"/>
      <c r="V6" s="3"/>
      <c r="W6" s="3"/>
      <c r="X6" s="3"/>
      <c r="Y6" s="3"/>
      <c r="Z6" s="3"/>
      <c r="AA6" s="3" t="s">
        <v>31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122</v>
      </c>
      <c r="AG6" s="3" t="s">
        <v>30</v>
      </c>
      <c r="AH6" s="3"/>
      <c r="AI6" s="3"/>
      <c r="AJ6" s="3"/>
      <c r="AK6" s="3">
        <v>11.5</v>
      </c>
      <c r="AL6" s="3"/>
      <c r="AM6" s="3"/>
      <c r="AN6" s="3">
        <v>57.53</v>
      </c>
      <c r="AO6" s="3">
        <v>27.1</v>
      </c>
      <c r="AP6" s="3">
        <v>104.59</v>
      </c>
      <c r="AQ6" s="3"/>
      <c r="AR6" s="3">
        <v>4.26</v>
      </c>
      <c r="AS6" s="3">
        <v>3.96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5.5354999999999999</v>
      </c>
      <c r="BB6" s="3">
        <v>5.6580000000000004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3.96</v>
      </c>
      <c r="BK6" s="3">
        <v>12.5</v>
      </c>
      <c r="BL6" s="3">
        <v>889.21282798833818</v>
      </c>
      <c r="BM6" s="3">
        <v>9110.7871720116618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191</v>
      </c>
      <c r="BS6" s="3" t="s">
        <v>138</v>
      </c>
      <c r="BT6" s="3" t="s">
        <v>192</v>
      </c>
      <c r="BU6" s="3" t="s">
        <v>140</v>
      </c>
      <c r="BV6" s="3" t="s">
        <v>141</v>
      </c>
      <c r="BW6" s="3">
        <v>2</v>
      </c>
      <c r="BX6" s="3" t="s">
        <v>193</v>
      </c>
      <c r="BY6" s="3" t="s">
        <v>143</v>
      </c>
    </row>
    <row r="7" spans="1:77">
      <c r="A7" s="3" t="s">
        <v>198</v>
      </c>
      <c r="B7" s="4">
        <v>46121.333333333336</v>
      </c>
      <c r="C7" s="5">
        <v>67</v>
      </c>
      <c r="D7" s="5">
        <v>18</v>
      </c>
      <c r="E7" s="5">
        <v>1031.0999999999999</v>
      </c>
      <c r="F7" s="5">
        <v>58.76</v>
      </c>
      <c r="G7" s="5"/>
      <c r="H7" s="5">
        <v>25.97</v>
      </c>
      <c r="I7" s="5">
        <v>47.91</v>
      </c>
      <c r="J7" s="5">
        <v>12</v>
      </c>
      <c r="K7" s="5">
        <v>0</v>
      </c>
      <c r="L7" s="5">
        <v>12</v>
      </c>
      <c r="M7" s="5">
        <v>4.5</v>
      </c>
      <c r="N7" s="5">
        <v>31</v>
      </c>
      <c r="O7" s="3"/>
      <c r="P7" s="5">
        <v>121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31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122</v>
      </c>
      <c r="AG7" s="3" t="s">
        <v>30</v>
      </c>
      <c r="AH7" s="3" t="s">
        <v>199</v>
      </c>
      <c r="AI7" s="3">
        <v>51</v>
      </c>
      <c r="AJ7" s="3" t="s">
        <v>163</v>
      </c>
      <c r="AK7" s="3">
        <v>8.1999999999999993</v>
      </c>
      <c r="AL7" s="3"/>
      <c r="AM7" s="3"/>
      <c r="AN7" s="3">
        <v>58.83</v>
      </c>
      <c r="AO7" s="3">
        <v>23.89</v>
      </c>
      <c r="AP7" s="3">
        <v>73.88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191</v>
      </c>
      <c r="BS7" s="3" t="s">
        <v>138</v>
      </c>
      <c r="BT7" s="3" t="s">
        <v>192</v>
      </c>
      <c r="BU7" s="3" t="s">
        <v>140</v>
      </c>
      <c r="BV7" s="3" t="s">
        <v>141</v>
      </c>
      <c r="BW7" s="3">
        <v>2</v>
      </c>
      <c r="BX7" s="3" t="s">
        <v>193</v>
      </c>
      <c r="BY7" s="3" t="s">
        <v>143</v>
      </c>
    </row>
    <row r="8" spans="1:77">
      <c r="A8" s="3" t="s">
        <v>579</v>
      </c>
      <c r="B8" s="4">
        <f>B7+1/24</f>
        <v>46121.375</v>
      </c>
      <c r="C8" s="5">
        <v>68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t="n">
        <v>68.5</v>
      </c>
    </row>
    <row r="9" spans="1:77">
      <c r="A9" s="3" t="s">
        <v>200</v>
      </c>
      <c r="B9" s="4">
        <v>46121.625</v>
      </c>
      <c r="C9" s="5">
        <v>74</v>
      </c>
      <c r="D9" s="5">
        <v>18</v>
      </c>
      <c r="E9" s="5">
        <v>1025.5</v>
      </c>
      <c r="F9" s="5">
        <v>66.59</v>
      </c>
      <c r="G9" s="5"/>
      <c r="H9" s="5">
        <v>20.27</v>
      </c>
      <c r="I9" s="5">
        <v>43.31</v>
      </c>
      <c r="J9" s="5">
        <v>16</v>
      </c>
      <c r="K9" s="5">
        <v>24</v>
      </c>
      <c r="L9" s="5">
        <v>35.68</v>
      </c>
      <c r="M9" s="5">
        <v>4.96</v>
      </c>
      <c r="N9" s="5">
        <v>33</v>
      </c>
      <c r="O9" s="3"/>
      <c r="P9" s="5">
        <v>136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31</v>
      </c>
      <c r="AB9" s="3">
        <v>46269.625</v>
      </c>
      <c r="AC9" s="3" t="s">
        <v>166</v>
      </c>
      <c r="AD9" s="3" t="s">
        <v>29</v>
      </c>
      <c r="AE9" s="5" t="s">
        <v>121</v>
      </c>
      <c r="AF9" s="5" t="s">
        <v>122</v>
      </c>
      <c r="AG9" s="3" t="s">
        <v>30</v>
      </c>
      <c r="AH9" s="3"/>
      <c r="AI9" s="3"/>
      <c r="AJ9" s="3"/>
      <c r="AK9" s="3">
        <v>7.1</v>
      </c>
      <c r="AL9" s="3"/>
      <c r="AM9" s="3"/>
      <c r="AN9" s="3">
        <v>66.819999999999993</v>
      </c>
      <c r="AO9" s="3">
        <v>16.55</v>
      </c>
      <c r="AP9" s="3">
        <v>63.58</v>
      </c>
      <c r="AQ9" s="3"/>
      <c r="AR9" s="3"/>
      <c r="AS9" s="3">
        <v>-0.3</v>
      </c>
      <c r="AT9" s="5" t="s">
        <v>146</v>
      </c>
      <c r="AU9" s="3" t="s">
        <v>167</v>
      </c>
      <c r="AV9" s="3" t="s">
        <v>127</v>
      </c>
      <c r="AW9" s="3">
        <v>15</v>
      </c>
      <c r="AX9" s="3" t="s">
        <v>148</v>
      </c>
      <c r="AY9" s="3" t="s">
        <v>149</v>
      </c>
      <c r="AZ9" s="3" t="s">
        <v>130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136</v>
      </c>
      <c r="BR9" s="3" t="s">
        <v>191</v>
      </c>
      <c r="BS9" s="3" t="s">
        <v>138</v>
      </c>
      <c r="BT9" s="3" t="s">
        <v>192</v>
      </c>
      <c r="BU9" s="3" t="s">
        <v>140</v>
      </c>
      <c r="BV9" s="3" t="s">
        <v>141</v>
      </c>
      <c r="BW9" s="3">
        <v>2</v>
      </c>
      <c r="BX9" s="3" t="s">
        <v>193</v>
      </c>
      <c r="BY9" s="3" t="s">
        <v>143</v>
      </c>
    </row>
    <row r="10" spans="1:77">
      <c r="A10" s="3" t="s">
        <v>201</v>
      </c>
      <c r="B10" s="4">
        <v>46122.333333333336</v>
      </c>
      <c r="C10" s="5">
        <v>91</v>
      </c>
      <c r="D10" s="5">
        <v>18</v>
      </c>
      <c r="E10" s="5">
        <v>1014.8</v>
      </c>
      <c r="F10" s="5">
        <v>61.21</v>
      </c>
      <c r="G10" s="5">
        <v>0.11454999999999949</v>
      </c>
      <c r="H10" s="5">
        <v>9.32</v>
      </c>
      <c r="I10" s="5">
        <v>29.299999999999997</v>
      </c>
      <c r="J10" s="5">
        <v>11</v>
      </c>
      <c r="K10" s="5">
        <v>0</v>
      </c>
      <c r="L10" s="5">
        <v>11</v>
      </c>
      <c r="M10" s="5">
        <v>5.61</v>
      </c>
      <c r="N10" s="5">
        <v>30</v>
      </c>
      <c r="O10" s="3"/>
      <c r="P10" s="5">
        <v>124</v>
      </c>
      <c r="Q10" s="5">
        <v>7.8500000000000005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31</v>
      </c>
      <c r="AB10" s="3">
        <v>46299.333333333336</v>
      </c>
      <c r="AC10" s="3" t="s">
        <v>169</v>
      </c>
      <c r="AD10" s="3" t="s">
        <v>29</v>
      </c>
      <c r="AE10" s="5" t="s">
        <v>121</v>
      </c>
      <c r="AF10" s="5" t="s">
        <v>122</v>
      </c>
      <c r="AG10" s="3" t="s">
        <v>30</v>
      </c>
      <c r="AH10" s="3"/>
      <c r="AI10" s="3"/>
      <c r="AJ10" s="3"/>
      <c r="AK10" s="3">
        <v>4.2</v>
      </c>
      <c r="AL10" s="3"/>
      <c r="AM10" s="3"/>
      <c r="AN10" s="3">
        <v>61.52</v>
      </c>
      <c r="AO10" s="3">
        <v>19.350000000000001</v>
      </c>
      <c r="AP10" s="3">
        <v>38.619999999999997</v>
      </c>
      <c r="AQ10" s="3"/>
      <c r="AR10" s="3">
        <v>8.15</v>
      </c>
      <c r="AS10" s="3">
        <v>7.8500000000000005</v>
      </c>
      <c r="AT10" s="5" t="s">
        <v>125</v>
      </c>
      <c r="AU10" s="3" t="s">
        <v>170</v>
      </c>
      <c r="AV10" s="3" t="s">
        <v>127</v>
      </c>
      <c r="AW10" s="3">
        <v>50</v>
      </c>
      <c r="AX10" s="3" t="s">
        <v>128</v>
      </c>
      <c r="AY10" s="3" t="s">
        <v>159</v>
      </c>
      <c r="AZ10" s="3" t="s">
        <v>130</v>
      </c>
      <c r="BA10" s="3">
        <v>5.5284500000000003</v>
      </c>
      <c r="BB10" s="3">
        <v>5.6429999999999998</v>
      </c>
      <c r="BC10" s="3" t="s">
        <v>131</v>
      </c>
      <c r="BD10" s="3" t="s">
        <v>132</v>
      </c>
      <c r="BE10" s="3" t="s">
        <v>133</v>
      </c>
      <c r="BF10" s="3"/>
      <c r="BG10" s="3"/>
      <c r="BH10" s="3">
        <v>10</v>
      </c>
      <c r="BI10" s="3">
        <v>0</v>
      </c>
      <c r="BJ10" s="3">
        <v>7.8500000000000005</v>
      </c>
      <c r="BK10" s="3">
        <v>12.5</v>
      </c>
      <c r="BL10" s="3">
        <v>504.61204557786209</v>
      </c>
      <c r="BM10" s="3">
        <v>9495.3879544221381</v>
      </c>
      <c r="BN10" s="5">
        <v>2026</v>
      </c>
      <c r="BO10" s="3" t="s">
        <v>134</v>
      </c>
      <c r="BP10" s="3" t="s">
        <v>135</v>
      </c>
      <c r="BQ10" s="3" t="s">
        <v>136</v>
      </c>
      <c r="BR10" s="3" t="s">
        <v>191</v>
      </c>
      <c r="BS10" s="3" t="s">
        <v>138</v>
      </c>
      <c r="BT10" s="3" t="s">
        <v>192</v>
      </c>
      <c r="BU10" s="3" t="s">
        <v>140</v>
      </c>
      <c r="BV10" s="3" t="s">
        <v>141</v>
      </c>
      <c r="BW10" s="3">
        <v>2</v>
      </c>
      <c r="BX10" s="3" t="s">
        <v>193</v>
      </c>
      <c r="BY10" s="3" t="s">
        <v>143</v>
      </c>
    </row>
    <row r="11" spans="1:77">
      <c r="A11" s="3" t="s">
        <v>202</v>
      </c>
      <c r="B11" s="4">
        <v>46122.625</v>
      </c>
      <c r="C11" s="5">
        <v>98</v>
      </c>
      <c r="D11" s="5">
        <v>18</v>
      </c>
      <c r="E11" s="5">
        <v>1010.3</v>
      </c>
      <c r="F11" s="5">
        <v>71.2</v>
      </c>
      <c r="G11" s="5"/>
      <c r="H11" s="5">
        <v>6.3</v>
      </c>
      <c r="I11" s="5">
        <v>24.38</v>
      </c>
      <c r="J11" s="5">
        <v>10</v>
      </c>
      <c r="K11" s="5">
        <v>0</v>
      </c>
      <c r="L11" s="5">
        <v>10</v>
      </c>
      <c r="M11" s="5">
        <v>5.87</v>
      </c>
      <c r="N11" s="5">
        <v>21</v>
      </c>
      <c r="O11" s="3"/>
      <c r="P11" s="5">
        <v>115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31</v>
      </c>
      <c r="AB11" s="3">
        <v>46299.625</v>
      </c>
      <c r="AC11" s="3" t="s">
        <v>172</v>
      </c>
      <c r="AD11" s="3" t="s">
        <v>29</v>
      </c>
      <c r="AE11" s="5" t="s">
        <v>121</v>
      </c>
      <c r="AF11" s="5" t="s">
        <v>122</v>
      </c>
      <c r="AG11" s="3" t="s">
        <v>30</v>
      </c>
      <c r="AH11" s="3"/>
      <c r="AI11" s="3"/>
      <c r="AJ11" s="3"/>
      <c r="AK11" s="3">
        <v>3.1</v>
      </c>
      <c r="AL11" s="3"/>
      <c r="AM11" s="3"/>
      <c r="AN11" s="3">
        <v>72.27</v>
      </c>
      <c r="AO11" s="3">
        <v>12.43</v>
      </c>
      <c r="AP11" s="3">
        <v>30.68</v>
      </c>
      <c r="AQ11" s="3"/>
      <c r="AR11" s="3"/>
      <c r="AS11" s="3">
        <v>-0.3</v>
      </c>
      <c r="AT11" s="5" t="s">
        <v>146</v>
      </c>
      <c r="AU11" s="3" t="s">
        <v>173</v>
      </c>
      <c r="AV11" s="3" t="s">
        <v>127</v>
      </c>
      <c r="AW11" s="3">
        <v>15</v>
      </c>
      <c r="AX11" s="3" t="s">
        <v>148</v>
      </c>
      <c r="AY11" s="3" t="s">
        <v>149</v>
      </c>
      <c r="AZ11" s="3" t="s">
        <v>130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191</v>
      </c>
      <c r="BS11" s="3" t="s">
        <v>138</v>
      </c>
      <c r="BT11" s="3" t="s">
        <v>192</v>
      </c>
      <c r="BU11" s="3" t="s">
        <v>140</v>
      </c>
      <c r="BV11" s="3" t="s">
        <v>141</v>
      </c>
      <c r="BW11" s="3">
        <v>2</v>
      </c>
      <c r="BX11" s="3" t="s">
        <v>193</v>
      </c>
      <c r="BY11" s="3" t="s">
        <v>143</v>
      </c>
    </row>
    <row r="12" spans="1:77">
      <c r="A12" s="3" t="s">
        <v>203</v>
      </c>
      <c r="B12" s="4">
        <v>46123.333333333336</v>
      </c>
      <c r="C12" s="5">
        <v>115</v>
      </c>
      <c r="D12" s="5">
        <v>21</v>
      </c>
      <c r="E12" s="5">
        <v>999.5</v>
      </c>
      <c r="F12" s="5"/>
      <c r="G12" s="5"/>
      <c r="H12" s="5">
        <v>0.67</v>
      </c>
      <c r="I12" s="5">
        <v>7.5299999999999994</v>
      </c>
      <c r="J12" s="5">
        <v>46</v>
      </c>
      <c r="K12" s="5">
        <v>0</v>
      </c>
      <c r="L12" s="5">
        <v>46</v>
      </c>
      <c r="M12" s="5">
        <v>6.63</v>
      </c>
      <c r="N12" s="5">
        <v>22</v>
      </c>
      <c r="O12" s="3"/>
      <c r="P12" s="5">
        <v>106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31</v>
      </c>
      <c r="AB12" s="3">
        <v>46330.333333333336</v>
      </c>
      <c r="AC12" s="3" t="s">
        <v>175</v>
      </c>
      <c r="AD12" s="3" t="s">
        <v>29</v>
      </c>
      <c r="AE12" s="5" t="s">
        <v>176</v>
      </c>
      <c r="AF12" s="5" t="s">
        <v>204</v>
      </c>
      <c r="AG12" s="3" t="s">
        <v>30</v>
      </c>
      <c r="AH12" s="3"/>
      <c r="AI12" s="3"/>
      <c r="AJ12" s="3"/>
      <c r="AK12" s="3">
        <v>0.4</v>
      </c>
      <c r="AL12" s="3"/>
      <c r="AM12" s="3"/>
      <c r="AN12" s="3"/>
      <c r="AO12" s="3"/>
      <c r="AP12" s="3">
        <v>8.1999999999999993</v>
      </c>
      <c r="AQ12" s="3"/>
      <c r="AR12" s="3"/>
      <c r="AS12" s="3">
        <v>-0.3</v>
      </c>
      <c r="AT12" s="5" t="s">
        <v>146</v>
      </c>
      <c r="AU12" s="3" t="s">
        <v>178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191</v>
      </c>
      <c r="BS12" s="3" t="s">
        <v>138</v>
      </c>
      <c r="BT12" s="3" t="s">
        <v>192</v>
      </c>
      <c r="BU12" s="3" t="s">
        <v>140</v>
      </c>
      <c r="BV12" s="3" t="s">
        <v>141</v>
      </c>
      <c r="BW12" s="3">
        <v>2</v>
      </c>
      <c r="BX12" s="3" t="s">
        <v>193</v>
      </c>
      <c r="BY12" s="3" t="s">
        <v>143</v>
      </c>
    </row>
    <row r="13" spans="1:77">
      <c r="A13" s="3" t="s">
        <v>205</v>
      </c>
      <c r="B13" s="4">
        <v>46123.625</v>
      </c>
      <c r="C13" s="5">
        <v>122</v>
      </c>
      <c r="D13" s="5">
        <v>21</v>
      </c>
      <c r="E13" s="5">
        <v>995.5</v>
      </c>
      <c r="F13" s="5">
        <v>68.89</v>
      </c>
      <c r="G13" s="5"/>
      <c r="H13" s="5">
        <v>0.27</v>
      </c>
      <c r="I13" s="5">
        <v>4.7300000000000004</v>
      </c>
      <c r="J13" s="5">
        <v>14</v>
      </c>
      <c r="K13" s="5">
        <v>0</v>
      </c>
      <c r="L13" s="5">
        <v>14</v>
      </c>
      <c r="M13" s="5">
        <v>6.3</v>
      </c>
      <c r="N13" s="5">
        <v>19</v>
      </c>
      <c r="O13" s="3"/>
      <c r="P13" s="5">
        <v>109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31</v>
      </c>
      <c r="AB13" s="3">
        <v>46330.625</v>
      </c>
      <c r="AC13" s="3" t="s">
        <v>180</v>
      </c>
      <c r="AD13" s="3" t="s">
        <v>29</v>
      </c>
      <c r="AE13" s="5" t="s">
        <v>176</v>
      </c>
      <c r="AF13" s="5" t="s">
        <v>204</v>
      </c>
      <c r="AG13" s="3" t="s">
        <v>30</v>
      </c>
      <c r="AH13" s="3"/>
      <c r="AI13" s="3"/>
      <c r="AJ13" s="3"/>
      <c r="AK13" s="3">
        <v>-0.6</v>
      </c>
      <c r="AL13" s="3"/>
      <c r="AM13" s="3"/>
      <c r="AN13" s="3">
        <v>71.12</v>
      </c>
      <c r="AO13" s="3">
        <v>10.69</v>
      </c>
      <c r="AP13" s="3">
        <v>5</v>
      </c>
      <c r="AQ13" s="3"/>
      <c r="AR13" s="3"/>
      <c r="AS13" s="3">
        <v>-0.3</v>
      </c>
      <c r="AT13" s="5" t="s">
        <v>146</v>
      </c>
      <c r="AU13" s="3" t="s">
        <v>181</v>
      </c>
      <c r="AV13" s="3" t="s">
        <v>127</v>
      </c>
      <c r="AW13" s="3">
        <v>15</v>
      </c>
      <c r="AX13" s="3" t="s">
        <v>148</v>
      </c>
      <c r="AY13" s="3" t="s">
        <v>149</v>
      </c>
      <c r="AZ13" s="3" t="s">
        <v>130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191</v>
      </c>
      <c r="BS13" s="3" t="s">
        <v>138</v>
      </c>
      <c r="BT13" s="3" t="s">
        <v>192</v>
      </c>
      <c r="BU13" s="3" t="s">
        <v>140</v>
      </c>
      <c r="BV13" s="3" t="s">
        <v>141</v>
      </c>
      <c r="BW13" s="3">
        <v>2</v>
      </c>
      <c r="BX13" s="3" t="s">
        <v>193</v>
      </c>
      <c r="BY13" s="3" t="s">
        <v>143</v>
      </c>
    </row>
    <row r="14" spans="1:77">
      <c r="A14" s="3" t="s">
        <v>206</v>
      </c>
      <c r="B14" s="4">
        <v>46124.625</v>
      </c>
      <c r="C14" s="5">
        <v>146</v>
      </c>
      <c r="D14" s="5">
        <v>21</v>
      </c>
      <c r="E14" s="5">
        <v>994.9</v>
      </c>
      <c r="F14" s="5"/>
      <c r="G14" s="5">
        <v>0.10699999999999932</v>
      </c>
      <c r="H14" s="5">
        <v>0.03</v>
      </c>
      <c r="I14" s="5">
        <v>0.09</v>
      </c>
      <c r="J14" s="5">
        <v>27</v>
      </c>
      <c r="K14" s="5">
        <v>0</v>
      </c>
      <c r="L14" s="5">
        <v>27</v>
      </c>
      <c r="M14" s="5">
        <v>6.22</v>
      </c>
      <c r="N14" s="5">
        <v>20</v>
      </c>
      <c r="O14" s="3"/>
      <c r="P14" s="5">
        <v>111</v>
      </c>
      <c r="Q14" s="5">
        <v>10.639999999999999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31</v>
      </c>
      <c r="AB14" s="3">
        <v>46360.625</v>
      </c>
      <c r="AC14" s="3" t="s">
        <v>183</v>
      </c>
      <c r="AD14" s="3" t="s">
        <v>29</v>
      </c>
      <c r="AE14" s="5" t="s">
        <v>176</v>
      </c>
      <c r="AF14" s="5" t="s">
        <v>204</v>
      </c>
      <c r="AG14" s="3" t="s">
        <v>30</v>
      </c>
      <c r="AH14" s="3"/>
      <c r="AI14" s="3"/>
      <c r="AJ14" s="3"/>
      <c r="AK14" s="3">
        <v>22.8</v>
      </c>
      <c r="AL14" s="3"/>
      <c r="AM14" s="3"/>
      <c r="AN14" s="3"/>
      <c r="AO14" s="3"/>
      <c r="AP14" s="3">
        <v>0.12</v>
      </c>
      <c r="AQ14" s="3"/>
      <c r="AR14" s="3">
        <v>10.94</v>
      </c>
      <c r="AS14" s="3">
        <v>10.639999999999999</v>
      </c>
      <c r="AT14" s="5" t="s">
        <v>125</v>
      </c>
      <c r="AU14" s="3" t="s">
        <v>184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5.53</v>
      </c>
      <c r="BB14" s="3">
        <v>5.6369999999999996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10.639999999999999</v>
      </c>
      <c r="BK14" s="3">
        <v>12.5</v>
      </c>
      <c r="BL14" s="3">
        <v>208.14682184422571</v>
      </c>
      <c r="BM14" s="3">
        <v>9791.853178155774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191</v>
      </c>
      <c r="BS14" s="3" t="s">
        <v>138</v>
      </c>
      <c r="BT14" s="3" t="s">
        <v>192</v>
      </c>
      <c r="BU14" s="3" t="s">
        <v>140</v>
      </c>
      <c r="BV14" s="3" t="s">
        <v>141</v>
      </c>
      <c r="BW14" s="3">
        <v>2</v>
      </c>
      <c r="BX14" s="3" t="s">
        <v>193</v>
      </c>
      <c r="BY14" s="3" t="s">
        <v>143</v>
      </c>
    </row>
    <row r="15" spans="1:77">
      <c r="A15" s="3" t="s">
        <v>207</v>
      </c>
      <c r="B15" s="4">
        <v>46125.333333333336</v>
      </c>
      <c r="C15" s="5">
        <v>163</v>
      </c>
      <c r="D15" s="5">
        <v>21</v>
      </c>
      <c r="E15" s="5">
        <v>995</v>
      </c>
      <c r="F15" s="5">
        <v>61.14</v>
      </c>
      <c r="G15" s="5">
        <v>9.2999999999999972E-2</v>
      </c>
      <c r="H15" s="5">
        <v>0</v>
      </c>
      <c r="I15" s="5">
        <v>0.01</v>
      </c>
      <c r="J15" s="5">
        <v>29</v>
      </c>
      <c r="K15" s="5">
        <v>4</v>
      </c>
      <c r="L15" s="5">
        <v>32.28</v>
      </c>
      <c r="M15" s="5">
        <v>6.17</v>
      </c>
      <c r="N15" s="5">
        <v>16</v>
      </c>
      <c r="O15" s="3"/>
      <c r="P15" s="5">
        <v>87</v>
      </c>
      <c r="Q15" s="5">
        <v>10.219999999999999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31</v>
      </c>
      <c r="AB15" s="3" t="s">
        <v>186</v>
      </c>
      <c r="AC15" s="3" t="s">
        <v>187</v>
      </c>
      <c r="AD15" s="3" t="s">
        <v>29</v>
      </c>
      <c r="AE15" s="5" t="s">
        <v>176</v>
      </c>
      <c r="AF15" s="5" t="s">
        <v>204</v>
      </c>
      <c r="AG15" s="3" t="s">
        <v>30</v>
      </c>
      <c r="AH15" s="3"/>
      <c r="AI15" s="3"/>
      <c r="AJ15" s="3"/>
      <c r="AK15" s="3">
        <v>-0.8</v>
      </c>
      <c r="AL15" s="3"/>
      <c r="AM15" s="3"/>
      <c r="AN15" s="3">
        <v>61.44</v>
      </c>
      <c r="AO15" s="3">
        <v>22.75</v>
      </c>
      <c r="AP15" s="3">
        <v>0.01</v>
      </c>
      <c r="AQ15" s="3"/>
      <c r="AR15" s="3">
        <v>10.52</v>
      </c>
      <c r="AS15" s="3">
        <v>10.219999999999999</v>
      </c>
      <c r="AT15" s="5" t="s">
        <v>125</v>
      </c>
      <c r="AU15" s="3" t="s">
        <v>188</v>
      </c>
      <c r="AV15" s="3" t="s">
        <v>127</v>
      </c>
      <c r="AW15" s="3">
        <v>50</v>
      </c>
      <c r="AX15" s="3" t="s">
        <v>128</v>
      </c>
      <c r="AY15" s="3" t="s">
        <v>159</v>
      </c>
      <c r="AZ15" s="3" t="s">
        <v>130</v>
      </c>
      <c r="BA15" s="3">
        <v>5.6239999999999997</v>
      </c>
      <c r="BB15" s="3">
        <v>5.7169999999999996</v>
      </c>
      <c r="BC15" s="3" t="s">
        <v>131</v>
      </c>
      <c r="BD15" s="3" t="s">
        <v>132</v>
      </c>
      <c r="BE15" s="3" t="s">
        <v>133</v>
      </c>
      <c r="BF15" s="3"/>
      <c r="BG15" s="3"/>
      <c r="BH15" s="3">
        <v>10</v>
      </c>
      <c r="BI15" s="3">
        <v>0</v>
      </c>
      <c r="BJ15" s="3">
        <v>10.219999999999999</v>
      </c>
      <c r="BK15" s="3">
        <v>12.5</v>
      </c>
      <c r="BL15" s="3">
        <v>253.95411004678115</v>
      </c>
      <c r="BM15" s="3">
        <v>9746.0458899532186</v>
      </c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191</v>
      </c>
      <c r="BS15" s="3" t="s">
        <v>138</v>
      </c>
      <c r="BT15" s="3" t="s">
        <v>192</v>
      </c>
      <c r="BU15" s="3" t="s">
        <v>140</v>
      </c>
      <c r="BV15" s="3" t="s">
        <v>141</v>
      </c>
      <c r="BW15" s="3">
        <v>2</v>
      </c>
      <c r="BX15" s="3" t="s">
        <v>193</v>
      </c>
      <c r="BY15" s="3" t="s">
        <v>143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17"/>
  <sheetViews>
    <sheetView workbookViewId="0">
      <selection activeCell="Q16" sqref="Q16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  <col min="78" max="78" width="14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t="inlineStr">
        <is>
          <t>pulso real</t>
        </is>
      </c>
    </row>
    <row r="2" spans="1:77">
      <c r="A2" s="3" t="s">
        <v>208</v>
      </c>
      <c r="B2" s="4">
        <v>46118.541666666664</v>
      </c>
      <c r="C2" s="5">
        <v>0</v>
      </c>
      <c r="D2" s="5">
        <v>16</v>
      </c>
      <c r="E2" s="5">
        <v>1066.7</v>
      </c>
      <c r="F2" s="5">
        <v>3.3</v>
      </c>
      <c r="G2" s="5">
        <v>4.3600000000000527E-2</v>
      </c>
      <c r="H2" s="5">
        <v>81.63</v>
      </c>
      <c r="I2" s="5">
        <v>75.81</v>
      </c>
      <c r="J2" s="5">
        <v>93</v>
      </c>
      <c r="K2" s="5">
        <v>166</v>
      </c>
      <c r="L2" s="5">
        <v>229.12</v>
      </c>
      <c r="M2" s="5">
        <v>1.17</v>
      </c>
      <c r="N2" s="5">
        <v>16</v>
      </c>
      <c r="O2" s="3"/>
      <c r="P2" s="5">
        <v>52</v>
      </c>
      <c r="Q2" s="5">
        <v>1.25</v>
      </c>
      <c r="R2" s="3"/>
      <c r="S2" s="3"/>
      <c r="T2" s="3"/>
      <c r="U2" s="3"/>
      <c r="V2" s="3"/>
      <c r="W2" s="3"/>
      <c r="X2" s="3"/>
      <c r="Y2" s="3"/>
      <c r="Z2" s="3"/>
      <c r="AA2" s="3" t="s">
        <v>32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209</v>
      </c>
      <c r="AG2" s="3" t="s">
        <v>33</v>
      </c>
      <c r="AH2" s="3" t="s">
        <v>210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4.22</v>
      </c>
      <c r="AO2" s="3">
        <v>14.55</v>
      </c>
      <c r="AP2" s="3">
        <v>157.44</v>
      </c>
      <c r="AQ2" s="3"/>
      <c r="AR2" s="3">
        <v>1.55</v>
      </c>
      <c r="AS2" s="3">
        <v>1.25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5.4573999999999998</v>
      </c>
      <c r="BB2" s="3">
        <v>5.5010000000000003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1.25</v>
      </c>
      <c r="BK2" s="3">
        <v>12.5</v>
      </c>
      <c r="BL2" s="3">
        <v>1139.2405063291139</v>
      </c>
      <c r="BM2" s="3">
        <v>8860.7594936708865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211</v>
      </c>
      <c r="BS2" s="3" t="s">
        <v>212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214</v>
      </c>
      <c r="BY2" s="3" t="s">
        <v>215</v>
      </c>
    </row>
    <row r="3" spans="1:77">
      <c r="A3" s="3" t="s">
        <v>216</v>
      </c>
      <c r="B3" s="4">
        <v>46119.333333333336</v>
      </c>
      <c r="C3" s="5">
        <v>19</v>
      </c>
      <c r="D3" s="5">
        <v>16</v>
      </c>
      <c r="E3" s="5">
        <v>1065.2</v>
      </c>
      <c r="F3" s="5">
        <v>19.47</v>
      </c>
      <c r="G3" s="5"/>
      <c r="H3" s="5">
        <v>71.62</v>
      </c>
      <c r="I3" s="5">
        <v>72.319999999999993</v>
      </c>
      <c r="J3" s="5">
        <v>76</v>
      </c>
      <c r="K3" s="5">
        <v>150</v>
      </c>
      <c r="L3" s="5">
        <v>199</v>
      </c>
      <c r="M3" s="5">
        <v>0.9</v>
      </c>
      <c r="N3" s="5">
        <v>21</v>
      </c>
      <c r="O3" s="3"/>
      <c r="P3" s="5">
        <v>104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32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209</v>
      </c>
      <c r="AG3" s="3" t="s">
        <v>33</v>
      </c>
      <c r="AH3" s="3"/>
      <c r="AI3" s="3"/>
      <c r="AJ3" s="3"/>
      <c r="AK3" s="3">
        <v>16.5</v>
      </c>
      <c r="AL3" s="3"/>
      <c r="AM3" s="3"/>
      <c r="AN3" s="3">
        <v>19.739999999999998</v>
      </c>
      <c r="AO3" s="3">
        <v>26.07</v>
      </c>
      <c r="AP3" s="3">
        <v>143.94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211</v>
      </c>
      <c r="BS3" s="3" t="s">
        <v>212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214</v>
      </c>
      <c r="BY3" s="3" t="s">
        <v>215</v>
      </c>
    </row>
    <row r="4" spans="1:77">
      <c r="A4" s="3" t="s">
        <v>217</v>
      </c>
      <c r="B4" s="4">
        <v>46119.625</v>
      </c>
      <c r="C4" s="5">
        <v>26</v>
      </c>
      <c r="D4" s="5">
        <v>16</v>
      </c>
      <c r="E4" s="5">
        <v>1062.9000000000001</v>
      </c>
      <c r="F4" s="5">
        <v>19.39</v>
      </c>
      <c r="G4" s="5"/>
      <c r="H4" s="5">
        <v>70.180000000000007</v>
      </c>
      <c r="I4" s="5">
        <v>66.37</v>
      </c>
      <c r="J4" s="5">
        <v>62</v>
      </c>
      <c r="K4" s="5">
        <v>145</v>
      </c>
      <c r="L4" s="5">
        <v>180.89999999999998</v>
      </c>
      <c r="M4" s="5">
        <v>0.99</v>
      </c>
      <c r="N4" s="5">
        <v>20</v>
      </c>
      <c r="O4" s="3"/>
      <c r="P4" s="5">
        <v>101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32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209</v>
      </c>
      <c r="AG4" s="3" t="s">
        <v>33</v>
      </c>
      <c r="AH4" s="3"/>
      <c r="AI4" s="3"/>
      <c r="AJ4" s="3"/>
      <c r="AK4" s="3">
        <v>16.100000000000001</v>
      </c>
      <c r="AL4" s="3"/>
      <c r="AM4" s="3"/>
      <c r="AN4" s="3">
        <v>19.510000000000002</v>
      </c>
      <c r="AO4" s="3">
        <v>35.83</v>
      </c>
      <c r="AP4" s="3">
        <v>136.55000000000001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211</v>
      </c>
      <c r="BS4" s="3" t="s">
        <v>212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214</v>
      </c>
      <c r="BY4" s="3" t="s">
        <v>215</v>
      </c>
    </row>
    <row r="5" spans="1:77">
      <c r="A5" s="3" t="s">
        <v>218</v>
      </c>
      <c r="B5" s="4">
        <v>46120.333333333336</v>
      </c>
      <c r="C5" s="5">
        <v>43</v>
      </c>
      <c r="D5" s="5">
        <v>16</v>
      </c>
      <c r="E5" s="5">
        <v>1058.3</v>
      </c>
      <c r="F5" s="5">
        <v>30.65</v>
      </c>
      <c r="G5" s="5"/>
      <c r="H5" s="5">
        <v>60.47</v>
      </c>
      <c r="I5" s="5">
        <v>69.490000000000009</v>
      </c>
      <c r="J5" s="5">
        <v>46</v>
      </c>
      <c r="K5" s="5">
        <v>105</v>
      </c>
      <c r="L5" s="5">
        <v>132.1</v>
      </c>
      <c r="M5" s="5">
        <v>2.34</v>
      </c>
      <c r="N5" s="5">
        <v>35</v>
      </c>
      <c r="O5" s="3"/>
      <c r="P5" s="5">
        <v>120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32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209</v>
      </c>
      <c r="AG5" s="3" t="s">
        <v>33</v>
      </c>
      <c r="AH5" s="3"/>
      <c r="AI5" s="3"/>
      <c r="AJ5" s="3"/>
      <c r="AK5" s="3">
        <v>14.8</v>
      </c>
      <c r="AL5" s="3"/>
      <c r="AM5" s="3"/>
      <c r="AN5" s="3">
        <v>36.56</v>
      </c>
      <c r="AO5" s="3">
        <v>23.53</v>
      </c>
      <c r="AP5" s="3">
        <v>129.96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211</v>
      </c>
      <c r="BS5" s="3" t="s">
        <v>212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214</v>
      </c>
      <c r="BY5" s="3" t="s">
        <v>215</v>
      </c>
    </row>
    <row r="6" spans="1:77">
      <c r="A6" s="3" t="s">
        <v>219</v>
      </c>
      <c r="B6" s="4">
        <v>46120.625</v>
      </c>
      <c r="C6" s="5">
        <v>50</v>
      </c>
      <c r="D6" s="5">
        <v>16</v>
      </c>
      <c r="E6" s="5">
        <v>1054.3</v>
      </c>
      <c r="F6" s="5">
        <v>41.24</v>
      </c>
      <c r="G6" s="5">
        <v>9.9700000000000344E-2</v>
      </c>
      <c r="H6" s="5">
        <v>61.47</v>
      </c>
      <c r="I6" s="5">
        <v>66.070000000000007</v>
      </c>
      <c r="J6" s="5">
        <v>36</v>
      </c>
      <c r="K6" s="5">
        <v>80</v>
      </c>
      <c r="L6" s="5">
        <v>101.6</v>
      </c>
      <c r="M6" s="5">
        <v>2.83</v>
      </c>
      <c r="N6" s="5">
        <v>44</v>
      </c>
      <c r="O6" s="3"/>
      <c r="P6" s="5">
        <v>141</v>
      </c>
      <c r="Q6" s="5">
        <v>2.6700000000000004</v>
      </c>
      <c r="R6" s="3"/>
      <c r="S6" s="3"/>
      <c r="T6" s="3"/>
      <c r="U6" s="3"/>
      <c r="V6" s="3"/>
      <c r="W6" s="3"/>
      <c r="X6" s="3"/>
      <c r="Y6" s="3"/>
      <c r="Z6" s="3"/>
      <c r="AA6" s="3" t="s">
        <v>32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209</v>
      </c>
      <c r="AG6" s="3" t="s">
        <v>33</v>
      </c>
      <c r="AH6" s="3"/>
      <c r="AI6" s="3"/>
      <c r="AJ6" s="3"/>
      <c r="AK6" s="3">
        <v>14</v>
      </c>
      <c r="AL6" s="3"/>
      <c r="AM6" s="3"/>
      <c r="AN6" s="3">
        <v>41.55</v>
      </c>
      <c r="AO6" s="3">
        <v>34.200000000000003</v>
      </c>
      <c r="AP6" s="3">
        <v>127.54</v>
      </c>
      <c r="AQ6" s="3"/>
      <c r="AR6" s="3">
        <v>2.97</v>
      </c>
      <c r="AS6" s="3">
        <v>2.6700000000000004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5.6052999999999997</v>
      </c>
      <c r="BB6" s="3">
        <v>5.7050000000000001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2.6700000000000004</v>
      </c>
      <c r="BK6" s="3">
        <v>12.5</v>
      </c>
      <c r="BL6" s="3">
        <v>1009.9660947292715</v>
      </c>
      <c r="BM6" s="3">
        <v>8990.0339052707277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211</v>
      </c>
      <c r="BS6" s="3" t="s">
        <v>212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214</v>
      </c>
      <c r="BY6" s="3" t="s">
        <v>215</v>
      </c>
    </row>
    <row r="7" spans="1:77">
      <c r="A7" s="3" t="s">
        <v>220</v>
      </c>
      <c r="B7" s="4">
        <v>46121.333333333336</v>
      </c>
      <c r="C7" s="5">
        <v>67</v>
      </c>
      <c r="D7" s="5">
        <v>16</v>
      </c>
      <c r="E7" s="5">
        <v>1046.4000000000001</v>
      </c>
      <c r="F7" s="5">
        <v>65.05</v>
      </c>
      <c r="G7" s="5"/>
      <c r="H7" s="5">
        <v>44.39</v>
      </c>
      <c r="I7" s="5">
        <v>61.11</v>
      </c>
      <c r="J7" s="5">
        <v>24</v>
      </c>
      <c r="K7" s="5">
        <v>20</v>
      </c>
      <c r="L7" s="5">
        <v>40.4</v>
      </c>
      <c r="M7" s="5">
        <v>3.45</v>
      </c>
      <c r="N7" s="5">
        <v>48</v>
      </c>
      <c r="O7" s="3"/>
      <c r="P7" s="5">
        <v>120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32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209</v>
      </c>
      <c r="AG7" s="3" t="s">
        <v>33</v>
      </c>
      <c r="AH7" s="3"/>
      <c r="AI7" s="3"/>
      <c r="AJ7" s="3"/>
      <c r="AK7" s="3">
        <v>11.9</v>
      </c>
      <c r="AL7" s="3"/>
      <c r="AM7" s="3"/>
      <c r="AN7" s="3">
        <v>65.13</v>
      </c>
      <c r="AO7" s="3">
        <v>22.17</v>
      </c>
      <c r="AP7" s="3">
        <v>105.5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211</v>
      </c>
      <c r="BS7" s="3" t="s">
        <v>212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214</v>
      </c>
      <c r="BY7" s="3" t="s">
        <v>215</v>
      </c>
    </row>
    <row r="8" spans="1:77">
      <c r="A8" s="3" t="s">
        <v>221</v>
      </c>
      <c r="B8" s="4">
        <v>46121.625</v>
      </c>
      <c r="C8" s="5">
        <v>74</v>
      </c>
      <c r="D8" s="5">
        <v>16</v>
      </c>
      <c r="E8" s="5">
        <v>1040</v>
      </c>
      <c r="F8" s="5">
        <v>45.93</v>
      </c>
      <c r="G8" s="5"/>
      <c r="H8" s="5">
        <v>38.909999999999997</v>
      </c>
      <c r="I8" s="5">
        <v>56.09</v>
      </c>
      <c r="J8" s="5">
        <v>21</v>
      </c>
      <c r="K8" s="5">
        <v>0</v>
      </c>
      <c r="L8" s="5">
        <v>21</v>
      </c>
      <c r="M8" s="5">
        <v>3.67</v>
      </c>
      <c r="N8" s="5">
        <v>50</v>
      </c>
      <c r="O8" s="3"/>
      <c r="P8" s="5">
        <v>144</v>
      </c>
      <c r="Q8" s="5"/>
      <c r="R8" s="3"/>
      <c r="S8" s="3"/>
      <c r="T8" s="3"/>
      <c r="U8" s="3"/>
      <c r="V8" s="3"/>
      <c r="W8" s="3"/>
      <c r="X8" s="3"/>
      <c r="Y8" s="3"/>
      <c r="Z8" s="3"/>
      <c r="AA8" s="3" t="s">
        <v>32</v>
      </c>
      <c r="AB8" s="3">
        <v>46269.625</v>
      </c>
      <c r="AC8" s="3" t="s">
        <v>166</v>
      </c>
      <c r="AD8" s="3" t="s">
        <v>29</v>
      </c>
      <c r="AE8" s="5" t="s">
        <v>121</v>
      </c>
      <c r="AF8" s="5" t="s">
        <v>209</v>
      </c>
      <c r="AG8" s="3" t="s">
        <v>33</v>
      </c>
      <c r="AH8" s="3"/>
      <c r="AI8" s="3"/>
      <c r="AJ8" s="3"/>
      <c r="AK8" s="3">
        <v>10.6</v>
      </c>
      <c r="AL8" s="3"/>
      <c r="AM8" s="3"/>
      <c r="AN8" s="3">
        <v>46.08</v>
      </c>
      <c r="AO8" s="3">
        <v>23.33</v>
      </c>
      <c r="AP8" s="3">
        <v>95</v>
      </c>
      <c r="AQ8" s="3"/>
      <c r="AR8" s="3"/>
      <c r="AS8" s="3">
        <v>-0.3</v>
      </c>
      <c r="AT8" s="5" t="s">
        <v>146</v>
      </c>
      <c r="AU8" s="3" t="s">
        <v>167</v>
      </c>
      <c r="AV8" s="3" t="s">
        <v>127</v>
      </c>
      <c r="AW8" s="3">
        <v>15</v>
      </c>
      <c r="AX8" s="3" t="s">
        <v>148</v>
      </c>
      <c r="AY8" s="3" t="s">
        <v>149</v>
      </c>
      <c r="AZ8" s="3" t="s">
        <v>130</v>
      </c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>
        <v>2026</v>
      </c>
      <c r="BO8" s="3" t="s">
        <v>134</v>
      </c>
      <c r="BP8" s="3" t="s">
        <v>135</v>
      </c>
      <c r="BQ8" s="3" t="s">
        <v>136</v>
      </c>
      <c r="BR8" s="3" t="s">
        <v>211</v>
      </c>
      <c r="BS8" s="3" t="s">
        <v>212</v>
      </c>
      <c r="BT8" s="3" t="s">
        <v>213</v>
      </c>
      <c r="BU8" s="3" t="s">
        <v>140</v>
      </c>
      <c r="BV8" s="3" t="s">
        <v>141</v>
      </c>
      <c r="BW8" s="3">
        <v>2</v>
      </c>
      <c r="BX8" s="3" t="s">
        <v>214</v>
      </c>
      <c r="BY8" s="3" t="s">
        <v>215</v>
      </c>
    </row>
    <row r="9" spans="1:77">
      <c r="A9" s="3" t="s">
        <v>222</v>
      </c>
      <c r="B9" s="4">
        <v>46122.625</v>
      </c>
      <c r="C9" s="5">
        <v>98</v>
      </c>
      <c r="D9" s="5">
        <v>16</v>
      </c>
      <c r="E9" s="5">
        <v>1026.2</v>
      </c>
      <c r="F9" s="5">
        <v>77.73</v>
      </c>
      <c r="G9" s="5"/>
      <c r="H9" s="5">
        <v>20.89</v>
      </c>
      <c r="I9" s="5">
        <v>43.04</v>
      </c>
      <c r="J9" s="5">
        <v>0</v>
      </c>
      <c r="K9" s="5">
        <v>0</v>
      </c>
      <c r="L9" s="5">
        <v>0</v>
      </c>
      <c r="M9" s="5">
        <v>4.8899999999999997</v>
      </c>
      <c r="N9" s="5">
        <v>34</v>
      </c>
      <c r="O9" s="3"/>
      <c r="P9" s="5">
        <v>118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32</v>
      </c>
      <c r="AB9" s="3">
        <v>46299.625</v>
      </c>
      <c r="AC9" s="3" t="s">
        <v>172</v>
      </c>
      <c r="AD9" s="3" t="s">
        <v>29</v>
      </c>
      <c r="AE9" s="5" t="s">
        <v>121</v>
      </c>
      <c r="AF9" s="5" t="s">
        <v>209</v>
      </c>
      <c r="AG9" s="3" t="s">
        <v>33</v>
      </c>
      <c r="AH9" s="3" t="s">
        <v>223</v>
      </c>
      <c r="AI9" s="3">
        <v>75</v>
      </c>
      <c r="AJ9" s="3" t="s">
        <v>163</v>
      </c>
      <c r="AK9" s="3">
        <v>7.1</v>
      </c>
      <c r="AL9" s="3"/>
      <c r="AM9" s="3"/>
      <c r="AN9" s="3">
        <v>79.569999999999993</v>
      </c>
      <c r="AO9" s="3">
        <v>16.12</v>
      </c>
      <c r="AP9" s="3">
        <v>63.93</v>
      </c>
      <c r="AQ9" s="3"/>
      <c r="AR9" s="3"/>
      <c r="AS9" s="3">
        <v>-0.3</v>
      </c>
      <c r="AT9" s="5" t="s">
        <v>146</v>
      </c>
      <c r="AU9" s="3" t="s">
        <v>173</v>
      </c>
      <c r="AV9" s="3" t="s">
        <v>127</v>
      </c>
      <c r="AW9" s="3">
        <v>15</v>
      </c>
      <c r="AX9" s="3" t="s">
        <v>148</v>
      </c>
      <c r="AY9" s="3" t="s">
        <v>149</v>
      </c>
      <c r="AZ9" s="3" t="s">
        <v>130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136</v>
      </c>
      <c r="BR9" s="3" t="s">
        <v>211</v>
      </c>
      <c r="BS9" s="3" t="s">
        <v>212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214</v>
      </c>
      <c r="BY9" s="3" t="s">
        <v>215</v>
      </c>
    </row>
    <row r="10" spans="1:77">
      <c r="A10" s="3" t="s">
        <v>580</v>
      </c>
      <c r="B10" s="4">
        <f>B9+1/24</f>
        <v>46122.666666666664</v>
      </c>
      <c r="C10" s="5">
        <v>99</v>
      </c>
      <c r="D10" s="5">
        <v>16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3"/>
      <c r="P10" s="5"/>
      <c r="Q10" s="5"/>
      <c r="R10" s="3">
        <v>80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/>
      <c r="AF10" s="5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5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t="n">
        <v>100.0</v>
      </c>
    </row>
    <row r="11" spans="1:77">
      <c r="A11" s="3" t="s">
        <v>224</v>
      </c>
      <c r="B11" s="4">
        <v>46123.333333333336</v>
      </c>
      <c r="C11" s="5">
        <v>115</v>
      </c>
      <c r="D11" s="5">
        <v>16</v>
      </c>
      <c r="E11" s="5">
        <v>1016.1</v>
      </c>
      <c r="F11" s="5"/>
      <c r="G11" s="5">
        <v>8.8000000000000078E-2</v>
      </c>
      <c r="H11" s="5">
        <v>11.13</v>
      </c>
      <c r="I11" s="5">
        <v>32.08</v>
      </c>
      <c r="J11" s="5">
        <v>58</v>
      </c>
      <c r="K11" s="5">
        <v>0</v>
      </c>
      <c r="L11" s="5">
        <v>58</v>
      </c>
      <c r="M11" s="5">
        <v>5.56</v>
      </c>
      <c r="N11" s="5">
        <v>20</v>
      </c>
      <c r="O11" s="3"/>
      <c r="P11" s="5">
        <v>120</v>
      </c>
      <c r="Q11" s="5">
        <v>7.8199999999999994</v>
      </c>
      <c r="R11" s="3"/>
      <c r="S11" s="3"/>
      <c r="T11" s="3"/>
      <c r="U11" s="3"/>
      <c r="V11" s="3"/>
      <c r="W11" s="3"/>
      <c r="X11" s="3"/>
      <c r="Y11" s="3"/>
      <c r="Z11" s="3"/>
      <c r="AA11" s="3" t="s">
        <v>32</v>
      </c>
      <c r="AB11" s="3">
        <v>46330.333333333336</v>
      </c>
      <c r="AC11" s="3" t="s">
        <v>175</v>
      </c>
      <c r="AD11" s="3" t="s">
        <v>29</v>
      </c>
      <c r="AE11" s="5" t="s">
        <v>121</v>
      </c>
      <c r="AF11" s="5" t="s">
        <v>209</v>
      </c>
      <c r="AG11" s="3" t="s">
        <v>33</v>
      </c>
      <c r="AH11" s="3"/>
      <c r="AI11" s="3"/>
      <c r="AJ11" s="3"/>
      <c r="AK11" s="3">
        <v>4.5999999999999996</v>
      </c>
      <c r="AL11" s="3"/>
      <c r="AM11" s="3"/>
      <c r="AN11" s="3"/>
      <c r="AO11" s="3"/>
      <c r="AP11" s="3">
        <v>43.21</v>
      </c>
      <c r="AQ11" s="3"/>
      <c r="AR11" s="3">
        <v>8.1199999999999992</v>
      </c>
      <c r="AS11" s="3">
        <v>7.8199999999999994</v>
      </c>
      <c r="AT11" s="5" t="s">
        <v>125</v>
      </c>
      <c r="AU11" s="3" t="s">
        <v>170</v>
      </c>
      <c r="AV11" s="3" t="s">
        <v>127</v>
      </c>
      <c r="AW11" s="3">
        <v>50</v>
      </c>
      <c r="AX11" s="3" t="s">
        <v>128</v>
      </c>
      <c r="AY11" s="3" t="s">
        <v>159</v>
      </c>
      <c r="AZ11" s="3" t="s">
        <v>130</v>
      </c>
      <c r="BA11" s="3">
        <v>5.65</v>
      </c>
      <c r="BB11" s="3">
        <v>5.7380000000000004</v>
      </c>
      <c r="BC11" s="3" t="s">
        <v>131</v>
      </c>
      <c r="BD11" s="3" t="s">
        <v>132</v>
      </c>
      <c r="BE11" s="3" t="s">
        <v>133</v>
      </c>
      <c r="BF11" s="3"/>
      <c r="BG11" s="3"/>
      <c r="BH11" s="3">
        <v>10</v>
      </c>
      <c r="BI11" s="3">
        <v>0</v>
      </c>
      <c r="BJ11" s="3">
        <v>7.8199999999999994</v>
      </c>
      <c r="BK11" s="3">
        <v>12.5</v>
      </c>
      <c r="BL11" s="3">
        <v>507.70232154480379</v>
      </c>
      <c r="BM11" s="3">
        <v>9492.2976784551956</v>
      </c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211</v>
      </c>
      <c r="BS11" s="3" t="s">
        <v>212</v>
      </c>
      <c r="BT11" s="3" t="s">
        <v>213</v>
      </c>
      <c r="BU11" s="3" t="s">
        <v>140</v>
      </c>
      <c r="BV11" s="3" t="s">
        <v>141</v>
      </c>
      <c r="BW11" s="3">
        <v>2</v>
      </c>
      <c r="BX11" s="3" t="s">
        <v>214</v>
      </c>
      <c r="BY11" s="3" t="s">
        <v>215</v>
      </c>
    </row>
    <row r="12" spans="1:77">
      <c r="A12" s="3" t="s">
        <v>225</v>
      </c>
      <c r="B12" s="4">
        <v>46123.625</v>
      </c>
      <c r="C12" s="5">
        <v>122</v>
      </c>
      <c r="D12" s="5">
        <v>16</v>
      </c>
      <c r="E12" s="5">
        <v>1011.7</v>
      </c>
      <c r="F12" s="5">
        <v>60.52</v>
      </c>
      <c r="G12" s="5"/>
      <c r="H12" s="5">
        <v>9.4600000000000009</v>
      </c>
      <c r="I12" s="5">
        <v>29.25</v>
      </c>
      <c r="J12" s="5">
        <v>27</v>
      </c>
      <c r="K12" s="5">
        <v>0</v>
      </c>
      <c r="L12" s="5">
        <v>27</v>
      </c>
      <c r="M12" s="5">
        <v>5.75</v>
      </c>
      <c r="N12" s="5">
        <v>26</v>
      </c>
      <c r="O12" s="3"/>
      <c r="P12" s="5">
        <v>119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32</v>
      </c>
      <c r="AB12" s="3">
        <v>46330.625</v>
      </c>
      <c r="AC12" s="3" t="s">
        <v>180</v>
      </c>
      <c r="AD12" s="3" t="s">
        <v>29</v>
      </c>
      <c r="AE12" s="5" t="s">
        <v>121</v>
      </c>
      <c r="AF12" s="5" t="s">
        <v>209</v>
      </c>
      <c r="AG12" s="3" t="s">
        <v>33</v>
      </c>
      <c r="AH12" s="3"/>
      <c r="AI12" s="3"/>
      <c r="AJ12" s="3"/>
      <c r="AK12" s="3">
        <v>3.6</v>
      </c>
      <c r="AL12" s="3"/>
      <c r="AM12" s="3"/>
      <c r="AN12" s="3">
        <v>63.67</v>
      </c>
      <c r="AO12" s="3">
        <v>8.56</v>
      </c>
      <c r="AP12" s="3">
        <v>38.71</v>
      </c>
      <c r="AQ12" s="3"/>
      <c r="AR12" s="3"/>
      <c r="AS12" s="3">
        <v>-0.3</v>
      </c>
      <c r="AT12" s="5" t="s">
        <v>146</v>
      </c>
      <c r="AU12" s="3" t="s">
        <v>181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211</v>
      </c>
      <c r="BS12" s="3" t="s">
        <v>212</v>
      </c>
      <c r="BT12" s="3" t="s">
        <v>213</v>
      </c>
      <c r="BU12" s="3" t="s">
        <v>140</v>
      </c>
      <c r="BV12" s="3" t="s">
        <v>141</v>
      </c>
      <c r="BW12" s="3">
        <v>2</v>
      </c>
      <c r="BX12" s="3" t="s">
        <v>214</v>
      </c>
      <c r="BY12" s="3" t="s">
        <v>215</v>
      </c>
    </row>
    <row r="13" spans="1:77">
      <c r="A13" s="3" t="s">
        <v>226</v>
      </c>
      <c r="B13" s="4">
        <v>46124.333333333336</v>
      </c>
      <c r="C13" s="5">
        <v>139</v>
      </c>
      <c r="D13" s="5">
        <v>18</v>
      </c>
      <c r="E13" s="5">
        <v>1006.9</v>
      </c>
      <c r="F13" s="5">
        <v>62.14</v>
      </c>
      <c r="G13" s="5"/>
      <c r="H13" s="5">
        <v>2.4500000000000002</v>
      </c>
      <c r="I13" s="5">
        <v>18.82</v>
      </c>
      <c r="J13" s="5">
        <v>39</v>
      </c>
      <c r="K13" s="5">
        <v>0</v>
      </c>
      <c r="L13" s="5">
        <v>39</v>
      </c>
      <c r="M13" s="5">
        <v>6.24</v>
      </c>
      <c r="N13" s="5">
        <v>21</v>
      </c>
      <c r="O13" s="3"/>
      <c r="P13" s="5">
        <v>123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32</v>
      </c>
      <c r="AB13" s="3">
        <v>46360.333333333336</v>
      </c>
      <c r="AC13" s="3" t="s">
        <v>227</v>
      </c>
      <c r="AD13" s="3" t="s">
        <v>29</v>
      </c>
      <c r="AE13" s="5" t="s">
        <v>176</v>
      </c>
      <c r="AF13" s="5" t="s">
        <v>228</v>
      </c>
      <c r="AG13" s="3" t="s">
        <v>33</v>
      </c>
      <c r="AH13" s="3"/>
      <c r="AI13" s="3"/>
      <c r="AJ13" s="3"/>
      <c r="AK13" s="3">
        <v>2.2000000000000002</v>
      </c>
      <c r="AL13" s="3"/>
      <c r="AM13" s="3"/>
      <c r="AN13" s="3">
        <v>64.44</v>
      </c>
      <c r="AO13" s="3">
        <v>7.15</v>
      </c>
      <c r="AP13" s="3">
        <v>21.27</v>
      </c>
      <c r="AQ13" s="3"/>
      <c r="AR13" s="3"/>
      <c r="AS13" s="3">
        <v>-0.3</v>
      </c>
      <c r="AT13" s="5" t="s">
        <v>146</v>
      </c>
      <c r="AU13" s="3" t="s">
        <v>178</v>
      </c>
      <c r="AV13" s="3" t="s">
        <v>127</v>
      </c>
      <c r="AW13" s="3">
        <v>15</v>
      </c>
      <c r="AX13" s="3" t="s">
        <v>148</v>
      </c>
      <c r="AY13" s="3" t="s">
        <v>149</v>
      </c>
      <c r="AZ13" s="3" t="s">
        <v>130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211</v>
      </c>
      <c r="BS13" s="3" t="s">
        <v>212</v>
      </c>
      <c r="BT13" s="3" t="s">
        <v>213</v>
      </c>
      <c r="BU13" s="3" t="s">
        <v>140</v>
      </c>
      <c r="BV13" s="3" t="s">
        <v>141</v>
      </c>
      <c r="BW13" s="3">
        <v>2</v>
      </c>
      <c r="BX13" s="3" t="s">
        <v>214</v>
      </c>
      <c r="BY13" s="3" t="s">
        <v>215</v>
      </c>
    </row>
    <row r="14" spans="1:77">
      <c r="A14" s="3" t="s">
        <v>229</v>
      </c>
      <c r="B14" s="4">
        <v>46124.625</v>
      </c>
      <c r="C14" s="5">
        <v>146</v>
      </c>
      <c r="D14" s="5">
        <v>18</v>
      </c>
      <c r="E14" s="5">
        <v>1001.5</v>
      </c>
      <c r="F14" s="5"/>
      <c r="G14" s="5">
        <v>0.10599999999999987</v>
      </c>
      <c r="H14" s="5">
        <v>1.33</v>
      </c>
      <c r="I14" s="5">
        <v>12.38</v>
      </c>
      <c r="J14" s="5">
        <v>41</v>
      </c>
      <c r="K14" s="5">
        <v>0</v>
      </c>
      <c r="L14" s="5">
        <v>41</v>
      </c>
      <c r="M14" s="5">
        <v>6.01</v>
      </c>
      <c r="N14" s="5">
        <v>20</v>
      </c>
      <c r="O14" s="3"/>
      <c r="P14" s="5">
        <v>123</v>
      </c>
      <c r="Q14" s="5">
        <v>9.77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32</v>
      </c>
      <c r="AB14" s="3">
        <v>46360.625</v>
      </c>
      <c r="AC14" s="3" t="s">
        <v>183</v>
      </c>
      <c r="AD14" s="3" t="s">
        <v>29</v>
      </c>
      <c r="AE14" s="5" t="s">
        <v>176</v>
      </c>
      <c r="AF14" s="5" t="s">
        <v>228</v>
      </c>
      <c r="AG14" s="3" t="s">
        <v>33</v>
      </c>
      <c r="AH14" s="3"/>
      <c r="AI14" s="3"/>
      <c r="AJ14" s="3"/>
      <c r="AK14" s="3">
        <v>22.5</v>
      </c>
      <c r="AL14" s="3"/>
      <c r="AM14" s="3"/>
      <c r="AN14" s="3"/>
      <c r="AO14" s="3"/>
      <c r="AP14" s="3">
        <v>13.71</v>
      </c>
      <c r="AQ14" s="3"/>
      <c r="AR14" s="3">
        <v>10.07</v>
      </c>
      <c r="AS14" s="3">
        <v>9.77</v>
      </c>
      <c r="AT14" s="5" t="s">
        <v>125</v>
      </c>
      <c r="AU14" s="3" t="s">
        <v>184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5.54</v>
      </c>
      <c r="BB14" s="3">
        <v>5.6459999999999999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9.77</v>
      </c>
      <c r="BK14" s="3">
        <v>12.5</v>
      </c>
      <c r="BL14" s="3">
        <v>302.56012412723055</v>
      </c>
      <c r="BM14" s="3">
        <v>9697.4398758727693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211</v>
      </c>
      <c r="BS14" s="3" t="s">
        <v>212</v>
      </c>
      <c r="BT14" s="3" t="s">
        <v>213</v>
      </c>
      <c r="BU14" s="3" t="s">
        <v>140</v>
      </c>
      <c r="BV14" s="3" t="s">
        <v>141</v>
      </c>
      <c r="BW14" s="3">
        <v>2</v>
      </c>
      <c r="BX14" s="3" t="s">
        <v>214</v>
      </c>
      <c r="BY14" s="3" t="s">
        <v>215</v>
      </c>
    </row>
    <row r="15" spans="1:77">
      <c r="A15" s="3" t="s">
        <v>230</v>
      </c>
      <c r="B15" s="4">
        <v>46125.625</v>
      </c>
      <c r="C15" s="5">
        <v>170</v>
      </c>
      <c r="D15" s="5">
        <v>18</v>
      </c>
      <c r="E15" s="5">
        <v>996.7</v>
      </c>
      <c r="F15" s="5">
        <v>49.16</v>
      </c>
      <c r="G15" s="5"/>
      <c r="H15" s="5">
        <v>0.19</v>
      </c>
      <c r="I15" s="5">
        <v>4.5</v>
      </c>
      <c r="J15" s="5">
        <v>39</v>
      </c>
      <c r="K15" s="5">
        <v>7</v>
      </c>
      <c r="L15" s="5">
        <v>44.74</v>
      </c>
      <c r="M15" s="5">
        <v>5.78</v>
      </c>
      <c r="N15" s="5">
        <v>17</v>
      </c>
      <c r="O15" s="3"/>
      <c r="P15" s="5">
        <v>104</v>
      </c>
      <c r="Q15" s="5"/>
      <c r="R15" s="3"/>
      <c r="S15" s="3"/>
      <c r="T15" s="3"/>
      <c r="U15" s="3"/>
      <c r="V15" s="3"/>
      <c r="W15" s="3"/>
      <c r="X15" s="3"/>
      <c r="Y15" s="3"/>
      <c r="Z15" s="3"/>
      <c r="AA15" s="3" t="s">
        <v>32</v>
      </c>
      <c r="AB15" s="3" t="s">
        <v>231</v>
      </c>
      <c r="AC15" s="3" t="s">
        <v>187</v>
      </c>
      <c r="AD15" s="3" t="s">
        <v>29</v>
      </c>
      <c r="AE15" s="5" t="s">
        <v>176</v>
      </c>
      <c r="AF15" s="5" t="s">
        <v>228</v>
      </c>
      <c r="AG15" s="3" t="s">
        <v>33</v>
      </c>
      <c r="AH15" s="3"/>
      <c r="AI15" s="3"/>
      <c r="AJ15" s="3"/>
      <c r="AK15" s="3">
        <v>-0.2</v>
      </c>
      <c r="AL15" s="3"/>
      <c r="AM15" s="3"/>
      <c r="AN15" s="3">
        <v>49.77</v>
      </c>
      <c r="AO15" s="3">
        <v>17.440000000000001</v>
      </c>
      <c r="AP15" s="3">
        <v>4.6900000000000004</v>
      </c>
      <c r="AQ15" s="3"/>
      <c r="AR15" s="3"/>
      <c r="AS15" s="3">
        <v>-0.3</v>
      </c>
      <c r="AT15" s="5" t="s">
        <v>146</v>
      </c>
      <c r="AU15" s="3" t="s">
        <v>232</v>
      </c>
      <c r="AV15" s="3" t="s">
        <v>127</v>
      </c>
      <c r="AW15" s="3">
        <v>15</v>
      </c>
      <c r="AX15" s="3" t="s">
        <v>148</v>
      </c>
      <c r="AY15" s="3" t="s">
        <v>149</v>
      </c>
      <c r="AZ15" s="3" t="s">
        <v>130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211</v>
      </c>
      <c r="BS15" s="3" t="s">
        <v>212</v>
      </c>
      <c r="BT15" s="3" t="s">
        <v>213</v>
      </c>
      <c r="BU15" s="3" t="s">
        <v>140</v>
      </c>
      <c r="BV15" s="3" t="s">
        <v>141</v>
      </c>
      <c r="BW15" s="3">
        <v>2</v>
      </c>
      <c r="BX15" s="3" t="s">
        <v>214</v>
      </c>
      <c r="BY15" s="3" t="s">
        <v>215</v>
      </c>
    </row>
    <row r="16" spans="1:77">
      <c r="A16" s="3" t="s">
        <v>233</v>
      </c>
      <c r="B16" s="4">
        <v>46126.625</v>
      </c>
      <c r="C16" s="5">
        <v>194</v>
      </c>
      <c r="D16" s="5">
        <v>18</v>
      </c>
      <c r="E16" s="5">
        <v>996</v>
      </c>
      <c r="F16" s="5">
        <v>56.68</v>
      </c>
      <c r="G16" s="5"/>
      <c r="H16" s="5">
        <v>0</v>
      </c>
      <c r="I16" s="5">
        <v>0.88</v>
      </c>
      <c r="J16" s="5">
        <v>40</v>
      </c>
      <c r="K16" s="5">
        <v>2</v>
      </c>
      <c r="L16" s="5">
        <v>41.64</v>
      </c>
      <c r="M16" s="5">
        <v>5.62</v>
      </c>
      <c r="N16" s="5">
        <v>17</v>
      </c>
      <c r="O16" s="3"/>
      <c r="P16" s="5">
        <v>111</v>
      </c>
      <c r="Q16" s="5"/>
      <c r="R16" s="3"/>
      <c r="S16" s="3"/>
      <c r="T16" s="3"/>
      <c r="U16" s="3"/>
      <c r="V16" s="3"/>
      <c r="W16" s="3"/>
      <c r="X16" s="3"/>
      <c r="Y16" s="3"/>
      <c r="Z16" s="3"/>
      <c r="AA16" s="3" t="s">
        <v>32</v>
      </c>
      <c r="AB16" s="3" t="s">
        <v>234</v>
      </c>
      <c r="AC16" s="3" t="s">
        <v>187</v>
      </c>
      <c r="AD16" s="3" t="s">
        <v>29</v>
      </c>
      <c r="AE16" s="5" t="s">
        <v>176</v>
      </c>
      <c r="AF16" s="5" t="s">
        <v>228</v>
      </c>
      <c r="AG16" s="3" t="s">
        <v>33</v>
      </c>
      <c r="AH16" s="3"/>
      <c r="AI16" s="3"/>
      <c r="AJ16" s="3"/>
      <c r="AK16" s="3">
        <v>-0.5</v>
      </c>
      <c r="AL16" s="3"/>
      <c r="AM16" s="3"/>
      <c r="AN16" s="3">
        <v>57.07</v>
      </c>
      <c r="AO16" s="3">
        <v>19.649999999999999</v>
      </c>
      <c r="AP16" s="3">
        <v>0.88</v>
      </c>
      <c r="AQ16" s="3"/>
      <c r="AR16" s="3"/>
      <c r="AS16" s="3">
        <v>-0.3</v>
      </c>
      <c r="AT16" s="5" t="s">
        <v>146</v>
      </c>
      <c r="AU16" s="3" t="s">
        <v>235</v>
      </c>
      <c r="AV16" s="3" t="s">
        <v>127</v>
      </c>
      <c r="AW16" s="3">
        <v>15</v>
      </c>
      <c r="AX16" s="3" t="s">
        <v>148</v>
      </c>
      <c r="AY16" s="3" t="s">
        <v>149</v>
      </c>
      <c r="AZ16" s="3" t="s">
        <v>130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5">
        <v>2026</v>
      </c>
      <c r="BO16" s="3" t="s">
        <v>134</v>
      </c>
      <c r="BP16" s="3" t="s">
        <v>135</v>
      </c>
      <c r="BQ16" s="3" t="s">
        <v>136</v>
      </c>
      <c r="BR16" s="3" t="s">
        <v>211</v>
      </c>
      <c r="BS16" s="3" t="s">
        <v>212</v>
      </c>
      <c r="BT16" s="3" t="s">
        <v>213</v>
      </c>
      <c r="BU16" s="3" t="s">
        <v>140</v>
      </c>
      <c r="BV16" s="3" t="s">
        <v>141</v>
      </c>
      <c r="BW16" s="3">
        <v>2</v>
      </c>
      <c r="BX16" s="3" t="s">
        <v>214</v>
      </c>
      <c r="BY16" s="3" t="s">
        <v>215</v>
      </c>
    </row>
    <row r="17" spans="1:77">
      <c r="A17" s="3" t="s">
        <v>236</v>
      </c>
      <c r="B17" s="4">
        <v>46127.333333333336</v>
      </c>
      <c r="C17" s="5">
        <v>211</v>
      </c>
      <c r="D17" s="5">
        <v>18</v>
      </c>
      <c r="E17" s="5">
        <v>995.4</v>
      </c>
      <c r="F17" s="5">
        <v>83.49</v>
      </c>
      <c r="G17" s="5">
        <v>9.5000000000000639E-2</v>
      </c>
      <c r="H17" s="5">
        <v>0</v>
      </c>
      <c r="I17" s="5">
        <v>0.17</v>
      </c>
      <c r="J17" s="5">
        <v>32</v>
      </c>
      <c r="K17" s="5">
        <v>0</v>
      </c>
      <c r="L17" s="5">
        <v>32</v>
      </c>
      <c r="M17" s="5">
        <v>6.34</v>
      </c>
      <c r="N17" s="5">
        <v>15</v>
      </c>
      <c r="O17" s="3"/>
      <c r="P17" s="5">
        <v>101</v>
      </c>
      <c r="Q17" s="5">
        <v>10.479999999999999</v>
      </c>
      <c r="R17" s="3"/>
      <c r="S17" s="3"/>
      <c r="T17" s="3"/>
      <c r="U17" s="3"/>
      <c r="V17" s="3"/>
      <c r="W17" s="3"/>
      <c r="X17" s="3"/>
      <c r="Y17" s="3"/>
      <c r="Z17" s="3"/>
      <c r="AA17" s="3" t="s">
        <v>32</v>
      </c>
      <c r="AB17" s="3" t="s">
        <v>237</v>
      </c>
      <c r="AC17" s="3" t="s">
        <v>187</v>
      </c>
      <c r="AD17" s="3" t="s">
        <v>29</v>
      </c>
      <c r="AE17" s="5" t="s">
        <v>176</v>
      </c>
      <c r="AF17" s="5" t="s">
        <v>228</v>
      </c>
      <c r="AG17" s="3" t="s">
        <v>33</v>
      </c>
      <c r="AH17" s="3"/>
      <c r="AI17" s="3"/>
      <c r="AJ17" s="3"/>
      <c r="AK17" s="3">
        <v>-0.7</v>
      </c>
      <c r="AL17" s="3"/>
      <c r="AM17" s="3"/>
      <c r="AN17" s="3">
        <v>83.72</v>
      </c>
      <c r="AO17" s="3">
        <v>18.440000000000001</v>
      </c>
      <c r="AP17" s="3">
        <v>0.17</v>
      </c>
      <c r="AQ17" s="3"/>
      <c r="AR17" s="3">
        <v>10.78</v>
      </c>
      <c r="AS17" s="3">
        <v>10.479999999999999</v>
      </c>
      <c r="AT17" s="5" t="s">
        <v>125</v>
      </c>
      <c r="AU17" s="3" t="s">
        <v>188</v>
      </c>
      <c r="AV17" s="3" t="s">
        <v>127</v>
      </c>
      <c r="AW17" s="3">
        <v>50</v>
      </c>
      <c r="AX17" s="3" t="s">
        <v>128</v>
      </c>
      <c r="AY17" s="3" t="s">
        <v>159</v>
      </c>
      <c r="AZ17" s="3" t="s">
        <v>130</v>
      </c>
      <c r="BA17" s="3">
        <v>5.5279999999999996</v>
      </c>
      <c r="BB17" s="3">
        <v>5.6230000000000002</v>
      </c>
      <c r="BC17" s="3" t="s">
        <v>131</v>
      </c>
      <c r="BD17" s="3" t="s">
        <v>132</v>
      </c>
      <c r="BE17" s="3" t="s">
        <v>133</v>
      </c>
      <c r="BF17" s="3"/>
      <c r="BG17" s="3"/>
      <c r="BH17" s="3">
        <v>10</v>
      </c>
      <c r="BI17" s="3">
        <v>0</v>
      </c>
      <c r="BJ17" s="3">
        <v>10.479999999999999</v>
      </c>
      <c r="BK17" s="3">
        <v>12.5</v>
      </c>
      <c r="BL17" s="3">
        <v>225.64789991063469</v>
      </c>
      <c r="BM17" s="3">
        <v>9774.3521000893652</v>
      </c>
      <c r="BN17" s="5">
        <v>2026</v>
      </c>
      <c r="BO17" s="3" t="s">
        <v>134</v>
      </c>
      <c r="BP17" s="3" t="s">
        <v>135</v>
      </c>
      <c r="BQ17" s="3" t="s">
        <v>136</v>
      </c>
      <c r="BR17" s="3" t="s">
        <v>211</v>
      </c>
      <c r="BS17" s="3" t="s">
        <v>212</v>
      </c>
      <c r="BT17" s="3" t="s">
        <v>213</v>
      </c>
      <c r="BU17" s="3" t="s">
        <v>140</v>
      </c>
      <c r="BV17" s="3" t="s">
        <v>141</v>
      </c>
      <c r="BW17" s="3">
        <v>2</v>
      </c>
      <c r="BX17" s="3" t="s">
        <v>214</v>
      </c>
      <c r="BY17" s="3" t="s">
        <v>215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15"/>
  <sheetViews>
    <sheetView tabSelected="1" topLeftCell="AJ1" workbookViewId="0">
      <selection activeCell="AP16" sqref="AP16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  <col min="78" max="78" width="14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t="inlineStr">
        <is>
          <t>pulso real</t>
        </is>
      </c>
    </row>
    <row r="2" spans="1:77">
      <c r="A2" s="3" t="s">
        <v>238</v>
      </c>
      <c r="B2" s="4">
        <v>46129.666666666664</v>
      </c>
      <c r="C2" s="5">
        <v>0</v>
      </c>
      <c r="D2" s="5" t="n">
        <v>18.0</v>
      </c>
      <c r="E2" s="5"/>
      <c r="F2" s="5">
        <v>9.7200000000000006</v>
      </c>
      <c r="G2" s="5">
        <v>4.9000000000000377E-2</v>
      </c>
      <c r="H2" s="5">
        <v>77.52</v>
      </c>
      <c r="I2" s="5">
        <v>74.55</v>
      </c>
      <c r="J2" s="5">
        <v>98</v>
      </c>
      <c r="K2" s="5">
        <v>172</v>
      </c>
      <c r="L2" s="5">
        <v>239.04</v>
      </c>
      <c r="M2" s="5">
        <v>0.89</v>
      </c>
      <c r="N2" s="5">
        <v>0</v>
      </c>
      <c r="O2" s="3"/>
      <c r="P2" s="5">
        <v>0</v>
      </c>
      <c r="Q2" s="5">
        <v>1.49</v>
      </c>
      <c r="R2" s="3"/>
      <c r="S2" s="3"/>
      <c r="T2" s="3"/>
      <c r="U2" s="3"/>
      <c r="V2" s="3"/>
      <c r="W2" s="3"/>
      <c r="X2" s="3"/>
      <c r="Y2" s="3"/>
      <c r="Z2" s="3"/>
      <c r="AA2" s="3" t="s">
        <v>34</v>
      </c>
      <c r="AB2" s="3">
        <v>46129.666666666664</v>
      </c>
      <c r="AC2" s="3" t="s">
        <v>239</v>
      </c>
      <c r="AD2" s="3" t="s">
        <v>35</v>
      </c>
      <c r="AE2" s="5" t="inlineStr">
        <is>
          <t>Log SP: Temp_F1_lab007.csv</t>
        </is>
      </c>
      <c r="AF2" s="5" t="inlineStr">
        <is>
          <t>SP 18 C; registro de temperatura</t>
        </is>
      </c>
      <c r="AG2" s="3"/>
      <c r="AH2" s="3" t="s">
        <v>242</v>
      </c>
      <c r="AI2" s="3">
        <v>0</v>
      </c>
      <c r="AJ2" s="3" t="s">
        <v>124</v>
      </c>
      <c r="AK2" s="3"/>
      <c r="AL2" s="3">
        <v>3.06</v>
      </c>
      <c r="AM2" s="7">
        <v>1.41</v>
      </c>
      <c r="AN2" s="3">
        <v>9.75</v>
      </c>
      <c r="AO2" s="3">
        <v>12.99</v>
      </c>
      <c r="AP2" s="3">
        <v>152.07</v>
      </c>
      <c r="AQ2" s="3">
        <v>7.0000000000000007E-2</v>
      </c>
      <c r="AR2" s="3">
        <v>1.79</v>
      </c>
      <c r="AS2" s="3">
        <v>1.49</v>
      </c>
      <c r="AT2" s="5" t="s">
        <v>125</v>
      </c>
      <c r="AU2" s="3"/>
      <c r="AV2" s="3"/>
      <c r="AW2" s="3"/>
      <c r="AX2" s="3"/>
      <c r="AY2" s="3"/>
      <c r="AZ2" s="3"/>
      <c r="BA2" s="3">
        <v>5.56</v>
      </c>
      <c r="BB2" s="3">
        <v>5.609</v>
      </c>
      <c r="BC2" s="3" t="s">
        <v>131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1.49</v>
      </c>
      <c r="BK2" s="3">
        <v>12.5</v>
      </c>
      <c r="BL2" s="3">
        <v>1117.6530301492232</v>
      </c>
      <c r="BM2" s="3">
        <v>8882.3469698507761</v>
      </c>
      <c r="BN2" s="5"/>
      <c r="BO2" s="3"/>
      <c r="BP2" s="3" t="s">
        <v>245</v>
      </c>
      <c r="BQ2" s="3"/>
      <c r="BR2" s="3"/>
      <c r="BS2" s="3"/>
      <c r="BT2" s="3"/>
      <c r="BU2" s="3"/>
      <c r="BV2" s="3" t="s">
        <v>141</v>
      </c>
      <c r="BW2" s="3"/>
      <c r="BX2" s="3"/>
      <c r="BY2" s="3"/>
    </row>
    <row r="3" spans="1:77">
      <c r="A3" s="3" t="s">
        <v>246</v>
      </c>
      <c r="B3" s="4">
        <v>46130.333333333336</v>
      </c>
      <c r="C3" s="5">
        <v>16</v>
      </c>
      <c r="D3" s="5" t="n">
        <v>18.0</v>
      </c>
      <c r="E3" s="5">
        <v>1062.5999999999999</v>
      </c>
      <c r="F3" s="5">
        <v>21.04</v>
      </c>
      <c r="G3" s="5"/>
      <c r="H3" s="5">
        <v>70.58</v>
      </c>
      <c r="I3" s="5">
        <v>72.399999999999991</v>
      </c>
      <c r="J3" s="5">
        <v>74</v>
      </c>
      <c r="K3" s="5">
        <v>142</v>
      </c>
      <c r="L3" s="5">
        <v>190.44</v>
      </c>
      <c r="M3" s="5">
        <v>1.5</v>
      </c>
      <c r="N3" s="5">
        <v>18</v>
      </c>
      <c r="O3" s="3"/>
      <c r="P3" s="5">
        <v>103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34</v>
      </c>
      <c r="AB3" s="3">
        <v>46130.333333333336</v>
      </c>
      <c r="AC3" s="3" t="s">
        <v>239</v>
      </c>
      <c r="AD3" s="3" t="s">
        <v>35</v>
      </c>
      <c r="AE3" s="5" t="inlineStr">
        <is>
          <t>Log SP: Temp_F1_lab007.csv</t>
        </is>
      </c>
      <c r="AF3" s="5" t="inlineStr">
        <is>
          <t>SP 18 C; registro de temperatura</t>
        </is>
      </c>
      <c r="AG3" s="3"/>
      <c r="AH3" s="3"/>
      <c r="AI3" s="3"/>
      <c r="AJ3" s="3"/>
      <c r="AK3" s="3">
        <v>15.9</v>
      </c>
      <c r="AL3" s="3">
        <v>3.03</v>
      </c>
      <c r="AM3" s="3">
        <v>1.03</v>
      </c>
      <c r="AN3" s="3">
        <v>21.31</v>
      </c>
      <c r="AO3" s="3">
        <v>36.4</v>
      </c>
      <c r="AP3" s="3">
        <v>142.97999999999999</v>
      </c>
      <c r="AQ3" s="3">
        <v>0.15</v>
      </c>
      <c r="AR3" s="3"/>
      <c r="AS3" s="3">
        <v>-0.3</v>
      </c>
      <c r="AT3" s="5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/>
      <c r="BO3" s="3"/>
      <c r="BP3" s="3" t="s">
        <v>245</v>
      </c>
      <c r="BQ3" s="3"/>
      <c r="BR3" s="3"/>
      <c r="BS3" s="3"/>
      <c r="BT3" s="3"/>
      <c r="BU3" s="3"/>
      <c r="BV3" s="3" t="s">
        <v>141</v>
      </c>
      <c r="BW3" s="3"/>
      <c r="BX3" s="3"/>
      <c r="BY3" s="3"/>
    </row>
    <row r="4" spans="1:77">
      <c r="A4" s="3" t="s">
        <v>247</v>
      </c>
      <c r="B4" s="4">
        <v>46130.666666666664</v>
      </c>
      <c r="C4" s="5">
        <v>24</v>
      </c>
      <c r="D4" s="5" t="n">
        <v>18.0</v>
      </c>
      <c r="E4" s="5">
        <v>1062.5</v>
      </c>
      <c r="F4" s="5">
        <v>24.46</v>
      </c>
      <c r="G4" s="5"/>
      <c r="H4" s="5">
        <v>71.45</v>
      </c>
      <c r="I4" s="5">
        <v>76.459999999999994</v>
      </c>
      <c r="J4" s="5">
        <v>67</v>
      </c>
      <c r="K4" s="5">
        <v>135</v>
      </c>
      <c r="L4" s="5">
        <v>177.7</v>
      </c>
      <c r="M4" s="5">
        <v>1.46</v>
      </c>
      <c r="N4" s="5">
        <v>20</v>
      </c>
      <c r="O4" s="3"/>
      <c r="P4" s="5">
        <v>101</v>
      </c>
      <c r="Q4" s="5">
        <v>2.72</v>
      </c>
      <c r="R4" s="3"/>
      <c r="S4" s="3"/>
      <c r="T4" s="3"/>
      <c r="U4" s="3"/>
      <c r="V4" s="3"/>
      <c r="W4" s="3"/>
      <c r="X4" s="3"/>
      <c r="Y4" s="3"/>
      <c r="Z4" s="3"/>
      <c r="AA4" s="3" t="s">
        <v>34</v>
      </c>
      <c r="AB4" s="3">
        <v>46130.666666666664</v>
      </c>
      <c r="AC4" s="3" t="s">
        <v>239</v>
      </c>
      <c r="AD4" s="3" t="s">
        <v>35</v>
      </c>
      <c r="AE4" s="5" t="inlineStr">
        <is>
          <t>Log SP: Temp_F1_lab007.csv</t>
        </is>
      </c>
      <c r="AF4" s="5" t="inlineStr">
        <is>
          <t>SP 18 C; registro de temperatura</t>
        </is>
      </c>
      <c r="AG4" s="3"/>
      <c r="AH4" s="3"/>
      <c r="AI4" s="3"/>
      <c r="AJ4" s="3"/>
      <c r="AK4" s="3">
        <v>15.8</v>
      </c>
      <c r="AL4" s="3">
        <v>2.99</v>
      </c>
      <c r="AM4" s="3">
        <v>1.18</v>
      </c>
      <c r="AN4" s="3">
        <v>24.5</v>
      </c>
      <c r="AO4" s="3">
        <v>39.81</v>
      </c>
      <c r="AP4" s="3">
        <v>147.91</v>
      </c>
      <c r="AQ4" s="3">
        <v>0.12</v>
      </c>
      <c r="AR4" s="3">
        <v>3.02</v>
      </c>
      <c r="AS4" s="3">
        <v>2.72</v>
      </c>
      <c r="AT4" s="5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/>
      <c r="BO4" s="3"/>
      <c r="BP4" s="3" t="s">
        <v>245</v>
      </c>
      <c r="BQ4" s="3"/>
      <c r="BR4" s="3"/>
      <c r="BS4" s="3"/>
      <c r="BT4" s="3"/>
      <c r="BU4" s="3"/>
      <c r="BV4" s="3" t="s">
        <v>141</v>
      </c>
      <c r="BW4" s="3"/>
      <c r="BX4" s="3"/>
      <c r="BY4" s="3"/>
    </row>
    <row r="5" spans="1:77">
      <c r="A5" s="3" t="s">
        <v>248</v>
      </c>
      <c r="B5" s="4">
        <v>46131.333333333336</v>
      </c>
      <c r="C5" s="5">
        <v>40</v>
      </c>
      <c r="D5" s="5" t="n">
        <v>18.0</v>
      </c>
      <c r="E5" s="5">
        <v>1052</v>
      </c>
      <c r="F5" s="5">
        <v>41.59</v>
      </c>
      <c r="G5" s="5"/>
      <c r="H5" s="5">
        <v>56.1</v>
      </c>
      <c r="I5" s="5">
        <v>65.109999999999985</v>
      </c>
      <c r="J5" s="5">
        <v>36</v>
      </c>
      <c r="K5" s="5">
        <v>32</v>
      </c>
      <c r="L5" s="5">
        <v>62.239999999999995</v>
      </c>
      <c r="M5" s="5">
        <v>3.37</v>
      </c>
      <c r="N5" s="5">
        <v>60</v>
      </c>
      <c r="O5" s="3"/>
      <c r="P5" s="5">
        <v>113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34</v>
      </c>
      <c r="AB5" s="3">
        <v>46131.333333333336</v>
      </c>
      <c r="AC5" s="3" t="s">
        <v>239</v>
      </c>
      <c r="AD5" s="3" t="s">
        <v>35</v>
      </c>
      <c r="AE5" s="5" t="inlineStr">
        <is>
          <t>Log SP: Temp_F1_lab007.csv</t>
        </is>
      </c>
      <c r="AF5" s="5" t="inlineStr">
        <is>
          <t>SP 18 C; registro de temperatura</t>
        </is>
      </c>
      <c r="AG5" s="3"/>
      <c r="AH5" s="3"/>
      <c r="AI5" s="3"/>
      <c r="AJ5" s="3"/>
      <c r="AK5" s="3">
        <v>13.2</v>
      </c>
      <c r="AL5" s="3">
        <v>2.83</v>
      </c>
      <c r="AM5" s="3">
        <v>0.8</v>
      </c>
      <c r="AN5" s="3">
        <v>41.71</v>
      </c>
      <c r="AO5" s="3">
        <v>28.64</v>
      </c>
      <c r="AP5" s="3">
        <v>121.21</v>
      </c>
      <c r="AQ5" s="3">
        <v>0.23</v>
      </c>
      <c r="AR5" s="3"/>
      <c r="AS5" s="3">
        <v>-0.3</v>
      </c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/>
      <c r="BO5" s="3"/>
      <c r="BP5" s="3" t="s">
        <v>245</v>
      </c>
      <c r="BQ5" s="3"/>
      <c r="BR5" s="3"/>
      <c r="BS5" s="3"/>
      <c r="BT5" s="3"/>
      <c r="BU5" s="3"/>
      <c r="BV5" s="3" t="s">
        <v>141</v>
      </c>
      <c r="BW5" s="3"/>
      <c r="BX5" s="3"/>
      <c r="BY5" s="3"/>
    </row>
    <row r="6" spans="1:77">
      <c r="A6" s="3" t="s">
        <v>249</v>
      </c>
      <c r="B6" s="4">
        <v>46131.666666666664</v>
      </c>
      <c r="C6" s="5">
        <v>48</v>
      </c>
      <c r="D6" s="5" t="n">
        <v>18.0</v>
      </c>
      <c r="E6" s="5">
        <v>1046.7</v>
      </c>
      <c r="F6" s="5">
        <v>47.08</v>
      </c>
      <c r="G6" s="5">
        <v>7.6000000000000512E-2</v>
      </c>
      <c r="H6" s="5">
        <v>49.74</v>
      </c>
      <c r="I6" s="5">
        <v>55.43</v>
      </c>
      <c r="J6" s="5">
        <v>35</v>
      </c>
      <c r="K6" s="5">
        <v>5</v>
      </c>
      <c r="L6" s="5">
        <v>39.1</v>
      </c>
      <c r="M6" s="5">
        <v>3.36</v>
      </c>
      <c r="N6" s="5">
        <v>44</v>
      </c>
      <c r="O6" s="3"/>
      <c r="P6" s="5">
        <v>123</v>
      </c>
      <c r="Q6" s="5">
        <v>3.84</v>
      </c>
      <c r="R6" s="3"/>
      <c r="S6" s="3"/>
      <c r="T6" s="3"/>
      <c r="U6" s="3"/>
      <c r="V6" s="3"/>
      <c r="W6" s="3"/>
      <c r="X6" s="3"/>
      <c r="Y6" s="3"/>
      <c r="Z6" s="3"/>
      <c r="AA6" s="3" t="s">
        <v>34</v>
      </c>
      <c r="AB6" s="3">
        <v>46131.666666666664</v>
      </c>
      <c r="AC6" s="3" t="s">
        <v>239</v>
      </c>
      <c r="AD6" s="3" t="s">
        <v>35</v>
      </c>
      <c r="AE6" s="5" t="inlineStr">
        <is>
          <t>Log SP: Temp_F1_lab007.csv</t>
        </is>
      </c>
      <c r="AF6" s="5" t="inlineStr">
        <is>
          <t>SP 18 C; registro de temperatura</t>
        </is>
      </c>
      <c r="AG6" s="3"/>
      <c r="AH6" s="3"/>
      <c r="AI6" s="3"/>
      <c r="AJ6" s="3"/>
      <c r="AK6" s="3">
        <v>11.8</v>
      </c>
      <c r="AL6" s="3">
        <v>2.78</v>
      </c>
      <c r="AM6" s="3">
        <v>0.63</v>
      </c>
      <c r="AN6" s="3">
        <v>47.08</v>
      </c>
      <c r="AO6" s="3">
        <v>25.69</v>
      </c>
      <c r="AP6" s="3">
        <v>105.17</v>
      </c>
      <c r="AQ6" s="3">
        <v>0.22</v>
      </c>
      <c r="AR6" s="3">
        <v>4.1399999999999997</v>
      </c>
      <c r="AS6" s="3">
        <v>3.84</v>
      </c>
      <c r="AT6" s="5" t="s">
        <v>125</v>
      </c>
      <c r="AU6" s="3"/>
      <c r="AV6" s="3"/>
      <c r="AW6" s="3"/>
      <c r="AX6" s="3"/>
      <c r="AY6" s="3"/>
      <c r="AZ6" s="3"/>
      <c r="BA6" s="3">
        <v>5.5839999999999996</v>
      </c>
      <c r="BB6" s="3">
        <v>5.66</v>
      </c>
      <c r="BC6" s="3" t="s">
        <v>250</v>
      </c>
      <c r="BD6" s="3" t="s">
        <v>243</v>
      </c>
      <c r="BE6" s="3" t="s">
        <v>244</v>
      </c>
      <c r="BF6" s="3"/>
      <c r="BG6" s="3"/>
      <c r="BH6" s="3">
        <v>10</v>
      </c>
      <c r="BI6" s="3">
        <v>0</v>
      </c>
      <c r="BJ6" s="3">
        <v>3.84</v>
      </c>
      <c r="BK6" s="3">
        <v>12.5</v>
      </c>
      <c r="BL6" s="3">
        <v>900.58236272878537</v>
      </c>
      <c r="BM6" s="3">
        <v>9099.4176372712154</v>
      </c>
      <c r="BN6" s="5"/>
      <c r="BO6" s="3"/>
      <c r="BP6" s="3" t="s">
        <v>245</v>
      </c>
      <c r="BQ6" s="3"/>
      <c r="BR6" s="3"/>
      <c r="BS6" s="3"/>
      <c r="BT6" s="3"/>
      <c r="BU6" s="3"/>
      <c r="BV6" s="3" t="s">
        <v>141</v>
      </c>
      <c r="BW6" s="3"/>
      <c r="BX6" s="3"/>
      <c r="BY6" s="3"/>
    </row>
    <row r="7" spans="1:77">
      <c r="A7" s="3" t="s">
        <v>251</v>
      </c>
      <c r="B7" s="4">
        <v>46132.333333333336</v>
      </c>
      <c r="C7" s="5">
        <v>64</v>
      </c>
      <c r="D7" s="5" t="n">
        <v>18.0</v>
      </c>
      <c r="E7" s="5">
        <v>1033.7</v>
      </c>
      <c r="F7" s="5">
        <v>56.68</v>
      </c>
      <c r="G7" s="5"/>
      <c r="H7" s="5">
        <v>29.71</v>
      </c>
      <c r="I7" s="5">
        <v>51.910000000000004</v>
      </c>
      <c r="J7" s="5">
        <v>2</v>
      </c>
      <c r="K7" s="5">
        <v>0</v>
      </c>
      <c r="L7" s="5">
        <v>2</v>
      </c>
      <c r="M7" s="5">
        <v>4.17</v>
      </c>
      <c r="N7" s="5">
        <v>32</v>
      </c>
      <c r="O7" s="3"/>
      <c r="P7" s="5">
        <v>104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34</v>
      </c>
      <c r="AB7" s="3">
        <v>46132.333333333336</v>
      </c>
      <c r="AC7" s="3" t="s">
        <v>239</v>
      </c>
      <c r="AD7" s="3" t="s">
        <v>35</v>
      </c>
      <c r="AE7" s="5" t="inlineStr">
        <is>
          <t>Log SP: Temp_F1_lab007.csv</t>
        </is>
      </c>
      <c r="AF7" s="5" t="inlineStr">
        <is>
          <t>SP 18 C; registro de temperatura</t>
        </is>
      </c>
      <c r="AG7" s="3"/>
      <c r="AH7" s="3"/>
      <c r="AI7" s="3"/>
      <c r="AJ7" s="3"/>
      <c r="AK7" s="3">
        <v>8.8000000000000007</v>
      </c>
      <c r="AL7" s="3">
        <v>2.76</v>
      </c>
      <c r="AM7" s="3">
        <v>0.79</v>
      </c>
      <c r="AN7" s="3">
        <v>56.99</v>
      </c>
      <c r="AO7" s="3">
        <v>21.16</v>
      </c>
      <c r="AP7" s="3">
        <v>81.62</v>
      </c>
      <c r="AQ7" s="3">
        <v>0.39</v>
      </c>
      <c r="AR7" s="3"/>
      <c r="AS7" s="3">
        <v>-0.3</v>
      </c>
      <c r="AT7" s="5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/>
      <c r="BO7" s="3"/>
      <c r="BP7" s="3" t="s">
        <v>245</v>
      </c>
      <c r="BQ7" s="3"/>
      <c r="BR7" s="3"/>
      <c r="BS7" s="3"/>
      <c r="BT7" s="3"/>
      <c r="BU7" s="3"/>
      <c r="BV7" s="3" t="s">
        <v>141</v>
      </c>
      <c r="BW7" s="3"/>
      <c r="BX7" s="3"/>
      <c r="BY7" s="3"/>
    </row>
    <row r="8" spans="1:77">
      <c r="A8" s="3" t="s">
        <v>581</v>
      </c>
      <c r="B8" s="4">
        <f>B7+1/24</f>
        <v>46132.375</v>
      </c>
      <c r="C8" s="5">
        <v>65</v>
      </c>
      <c r="D8" s="5" t="n">
        <v>18.0</v>
      </c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 t="inlineStr">
        <is>
          <t>Log SP: Temp_F1_lab007.csv</t>
        </is>
      </c>
      <c r="AF8" s="5" t="inlineStr">
        <is>
          <t>SP 18 C; registro de temperatura</t>
        </is>
      </c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t="n">
        <v>65.5</v>
      </c>
    </row>
    <row r="9" spans="1:77">
      <c r="A9" s="3" t="s">
        <v>252</v>
      </c>
      <c r="B9" s="4">
        <v>46132.666666666664</v>
      </c>
      <c r="C9" s="5">
        <v>72</v>
      </c>
      <c r="D9" s="5">
        <v>18</v>
      </c>
      <c r="E9" s="5">
        <v>1026.0999999999999</v>
      </c>
      <c r="F9" s="5">
        <v>56.68</v>
      </c>
      <c r="G9" s="5"/>
      <c r="H9" s="5">
        <v>24.29</v>
      </c>
      <c r="I9" s="5">
        <v>45.88</v>
      </c>
      <c r="J9" s="5">
        <v>24</v>
      </c>
      <c r="K9" s="5">
        <v>29</v>
      </c>
      <c r="L9" s="5">
        <v>47.78</v>
      </c>
      <c r="M9" s="5">
        <v>3.6</v>
      </c>
      <c r="N9" s="5">
        <v>35</v>
      </c>
      <c r="O9" s="3"/>
      <c r="P9" s="5">
        <v>122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34</v>
      </c>
      <c r="AB9" s="3">
        <v>46132.666666666664</v>
      </c>
      <c r="AC9" s="3" t="s">
        <v>239</v>
      </c>
      <c r="AD9" s="3" t="s">
        <v>35</v>
      </c>
      <c r="AE9" s="5" t="inlineStr">
        <is>
          <t>Log SP: Temp_F1_lab007.csv</t>
        </is>
      </c>
      <c r="AF9" s="5" t="inlineStr">
        <is>
          <t>SP 18 C; registro de temperatura</t>
        </is>
      </c>
      <c r="AG9" s="3"/>
      <c r="AH9" s="3"/>
      <c r="AI9" s="3"/>
      <c r="AJ9" s="3"/>
      <c r="AK9" s="3">
        <v>7.1</v>
      </c>
      <c r="AL9" s="3">
        <v>2.84</v>
      </c>
      <c r="AM9" s="3">
        <v>0.33</v>
      </c>
      <c r="AN9" s="3">
        <v>56.99</v>
      </c>
      <c r="AO9" s="3">
        <v>22.64</v>
      </c>
      <c r="AP9" s="3">
        <v>70.17</v>
      </c>
      <c r="AQ9" s="3">
        <v>0.3</v>
      </c>
      <c r="AR9" s="3"/>
      <c r="AS9" s="3">
        <v>-0.3</v>
      </c>
      <c r="AT9" s="5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/>
      <c r="BO9" s="3"/>
      <c r="BP9" s="3" t="s">
        <v>245</v>
      </c>
      <c r="BQ9" s="3"/>
      <c r="BR9" s="3"/>
      <c r="BS9" s="3"/>
      <c r="BT9" s="3"/>
      <c r="BU9" s="3"/>
      <c r="BV9" s="3" t="s">
        <v>141</v>
      </c>
      <c r="BW9" s="3"/>
      <c r="BX9" s="3"/>
      <c r="BY9" s="3"/>
    </row>
    <row r="10" spans="1:77">
      <c r="A10" s="3" t="s">
        <v>254</v>
      </c>
      <c r="B10" s="4">
        <v>46133.333333333336</v>
      </c>
      <c r="C10" s="5">
        <v>88</v>
      </c>
      <c r="D10" s="5">
        <v>18</v>
      </c>
      <c r="E10" s="5">
        <v>1013.6</v>
      </c>
      <c r="F10" s="5">
        <v>64.819999999999993</v>
      </c>
      <c r="G10" s="5">
        <v>0.10599999999999987</v>
      </c>
      <c r="H10" s="5">
        <v>11.91</v>
      </c>
      <c r="I10" s="5">
        <v>25.860000000000003</v>
      </c>
      <c r="J10" s="5">
        <v>19</v>
      </c>
      <c r="K10" s="5">
        <v>0</v>
      </c>
      <c r="L10" s="5">
        <v>19</v>
      </c>
      <c r="M10" s="5">
        <v>5.42</v>
      </c>
      <c r="N10" s="5">
        <v>18</v>
      </c>
      <c r="O10" s="3"/>
      <c r="P10" s="5">
        <v>106</v>
      </c>
      <c r="Q10" s="5">
        <v>8.0399999999999991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34</v>
      </c>
      <c r="AB10" s="3">
        <v>46133.333333333336</v>
      </c>
      <c r="AC10" s="3" t="s">
        <v>239</v>
      </c>
      <c r="AD10" s="3" t="s">
        <v>35</v>
      </c>
      <c r="AE10" s="5" t="inlineStr">
        <is>
          <t>Log SP: Temp_F1_lab007.csv</t>
        </is>
      </c>
      <c r="AF10" s="5" t="inlineStr">
        <is>
          <t>SP 18 C; registro de temperatura</t>
        </is>
      </c>
      <c r="AG10" s="3"/>
      <c r="AH10" s="3"/>
      <c r="AI10" s="3"/>
      <c r="AJ10" s="3"/>
      <c r="AK10" s="3">
        <v>4</v>
      </c>
      <c r="AL10" s="3">
        <v>2.82</v>
      </c>
      <c r="AM10" s="3">
        <v>0.5</v>
      </c>
      <c r="AN10" s="3">
        <v>65.209999999999994</v>
      </c>
      <c r="AO10" s="3">
        <v>22.61</v>
      </c>
      <c r="AP10" s="3">
        <v>37.770000000000003</v>
      </c>
      <c r="AQ10" s="3">
        <v>0.28000000000000003</v>
      </c>
      <c r="AR10" s="3">
        <v>8.34</v>
      </c>
      <c r="AS10" s="3">
        <v>8.0399999999999991</v>
      </c>
      <c r="AT10" s="5" t="s">
        <v>125</v>
      </c>
      <c r="AU10" s="3"/>
      <c r="AV10" s="3"/>
      <c r="AW10" s="3"/>
      <c r="AX10" s="3"/>
      <c r="AY10" s="3"/>
      <c r="AZ10" s="3"/>
      <c r="BA10" s="3">
        <v>5.5469999999999997</v>
      </c>
      <c r="BB10" s="3">
        <v>5.6529999999999996</v>
      </c>
      <c r="BC10" s="3" t="s">
        <v>250</v>
      </c>
      <c r="BD10" s="3" t="s">
        <v>243</v>
      </c>
      <c r="BE10" s="3" t="s">
        <v>244</v>
      </c>
      <c r="BF10" s="3"/>
      <c r="BG10" s="3"/>
      <c r="BH10" s="3">
        <v>10</v>
      </c>
      <c r="BI10" s="3">
        <v>0</v>
      </c>
      <c r="BJ10" s="3">
        <v>8.0399999999999991</v>
      </c>
      <c r="BK10" s="3">
        <v>12.5</v>
      </c>
      <c r="BL10" s="3">
        <v>484.99347542409748</v>
      </c>
      <c r="BM10" s="3">
        <v>9515.0065245759033</v>
      </c>
      <c r="BN10" s="5"/>
      <c r="BO10" s="3"/>
      <c r="BP10" s="3" t="s">
        <v>245</v>
      </c>
      <c r="BQ10" s="3"/>
      <c r="BR10" s="3"/>
      <c r="BS10" s="3"/>
      <c r="BT10" s="3"/>
      <c r="BU10" s="3"/>
      <c r="BV10" s="3" t="s">
        <v>141</v>
      </c>
      <c r="BW10" s="3"/>
      <c r="BX10" s="3"/>
      <c r="BY10" s="3"/>
    </row>
    <row r="11" spans="1:77">
      <c r="A11" s="3" t="s">
        <v>255</v>
      </c>
      <c r="B11" s="4">
        <v>46133.666666666664</v>
      </c>
      <c r="C11" s="5">
        <v>96</v>
      </c>
      <c r="D11" s="5" t="n">
        <v>21.0</v>
      </c>
      <c r="E11" s="5">
        <v>1010</v>
      </c>
      <c r="F11" s="5">
        <v>56.53</v>
      </c>
      <c r="G11" s="5"/>
      <c r="H11" s="5">
        <v>7.07</v>
      </c>
      <c r="I11" s="5">
        <v>23.94</v>
      </c>
      <c r="J11" s="5">
        <v>30</v>
      </c>
      <c r="K11" s="5">
        <v>0</v>
      </c>
      <c r="L11" s="5">
        <v>30</v>
      </c>
      <c r="M11" s="5">
        <v>5.35</v>
      </c>
      <c r="N11" s="5">
        <v>31</v>
      </c>
      <c r="O11" s="3"/>
      <c r="P11" s="5">
        <v>95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34</v>
      </c>
      <c r="AB11" s="3">
        <v>46133.666666666664</v>
      </c>
      <c r="AC11" s="3" t="s">
        <v>239</v>
      </c>
      <c r="AD11" s="3" t="s">
        <v>35</v>
      </c>
      <c r="AE11" s="5" t="inlineStr">
        <is>
          <t>Log SP: Temp_F1_lab007.csv</t>
        </is>
      </c>
      <c r="AF11" s="5" t="inlineStr">
        <is>
          <t>SP 21 C; registro de temperatura</t>
        </is>
      </c>
      <c r="AG11" s="3"/>
      <c r="AH11" s="3"/>
      <c r="AI11" s="3"/>
      <c r="AJ11" s="3"/>
      <c r="AK11" s="3">
        <v>3.1</v>
      </c>
      <c r="AL11" s="3">
        <v>2.84</v>
      </c>
      <c r="AM11" s="3">
        <v>0.34</v>
      </c>
      <c r="AN11" s="3">
        <v>56.84</v>
      </c>
      <c r="AO11" s="3">
        <v>24.05</v>
      </c>
      <c r="AP11" s="3">
        <v>31.01</v>
      </c>
      <c r="AQ11" s="3">
        <v>0.36</v>
      </c>
      <c r="AR11" s="3"/>
      <c r="AS11" s="3">
        <v>-0.3</v>
      </c>
      <c r="AT11" s="5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/>
      <c r="BO11" s="3"/>
      <c r="BP11" s="3" t="s">
        <v>245</v>
      </c>
      <c r="BQ11" s="3"/>
      <c r="BR11" s="3"/>
      <c r="BS11" s="3"/>
      <c r="BT11" s="3"/>
      <c r="BU11" s="3"/>
      <c r="BV11" s="3" t="s">
        <v>141</v>
      </c>
      <c r="BW11" s="3"/>
      <c r="BX11" s="3"/>
      <c r="BY11" s="3"/>
    </row>
    <row r="12" spans="1:77">
      <c r="A12" s="3" t="s">
        <v>256</v>
      </c>
      <c r="B12" s="4">
        <v>46134.333333333336</v>
      </c>
      <c r="C12" s="5">
        <v>112</v>
      </c>
      <c r="D12" s="5" t="n">
        <v>21.0</v>
      </c>
      <c r="E12" s="5">
        <v>999.6</v>
      </c>
      <c r="F12" s="5">
        <v>59.83</v>
      </c>
      <c r="G12" s="5"/>
      <c r="H12" s="5">
        <v>0.48</v>
      </c>
      <c r="I12" s="5">
        <v>6.52</v>
      </c>
      <c r="J12" s="5">
        <v>6</v>
      </c>
      <c r="K12" s="5">
        <v>0</v>
      </c>
      <c r="L12" s="5">
        <v>6</v>
      </c>
      <c r="M12" s="5">
        <v>5.76</v>
      </c>
      <c r="N12" s="5">
        <v>18</v>
      </c>
      <c r="O12" s="3"/>
      <c r="P12" s="5">
        <v>89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34</v>
      </c>
      <c r="AB12" s="3">
        <v>46134.333333333336</v>
      </c>
      <c r="AC12" s="3" t="s">
        <v>239</v>
      </c>
      <c r="AD12" s="3" t="s">
        <v>35</v>
      </c>
      <c r="AE12" s="5" t="inlineStr">
        <is>
          <t>Log SP: Temp_F1_lab007.csv</t>
        </is>
      </c>
      <c r="AF12" s="5" t="inlineStr">
        <is>
          <t>SP 21 C; registro de temperatura</t>
        </is>
      </c>
      <c r="AG12" s="3"/>
      <c r="AH12" s="3"/>
      <c r="AI12" s="3"/>
      <c r="AJ12" s="3"/>
      <c r="AK12" s="3">
        <v>0.5</v>
      </c>
      <c r="AL12" s="3">
        <v>2.84</v>
      </c>
      <c r="AM12" s="3">
        <v>0.39</v>
      </c>
      <c r="AN12" s="3">
        <v>60.29</v>
      </c>
      <c r="AO12" s="3">
        <v>22.17</v>
      </c>
      <c r="AP12" s="3">
        <v>7</v>
      </c>
      <c r="AQ12" s="3">
        <v>0.41</v>
      </c>
      <c r="AR12" s="3"/>
      <c r="AS12" s="3">
        <v>-0.3</v>
      </c>
      <c r="AT12" s="5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/>
      <c r="BO12" s="3"/>
      <c r="BP12" s="3" t="s">
        <v>245</v>
      </c>
      <c r="BQ12" s="3"/>
      <c r="BR12" s="3"/>
      <c r="BS12" s="3"/>
      <c r="BT12" s="3"/>
      <c r="BU12" s="3"/>
      <c r="BV12" s="3" t="s">
        <v>141</v>
      </c>
      <c r="BW12" s="3"/>
      <c r="BX12" s="3"/>
      <c r="BY12" s="3"/>
    </row>
    <row r="13" spans="1:77">
      <c r="A13" s="3" t="s">
        <v>257</v>
      </c>
      <c r="B13" s="4">
        <v>46134.666666666664</v>
      </c>
      <c r="C13" s="5">
        <v>120</v>
      </c>
      <c r="D13" s="5" t="n">
        <v>21.0</v>
      </c>
      <c r="E13" s="5">
        <v>997.4</v>
      </c>
      <c r="F13" s="5">
        <v>58.91</v>
      </c>
      <c r="G13" s="5"/>
      <c r="H13" s="5">
        <v>0.08</v>
      </c>
      <c r="I13" s="5">
        <v>3.34</v>
      </c>
      <c r="J13" s="5">
        <v>6</v>
      </c>
      <c r="K13" s="5">
        <v>0</v>
      </c>
      <c r="L13" s="5">
        <v>6</v>
      </c>
      <c r="M13" s="5">
        <v>5.69</v>
      </c>
      <c r="N13" s="5">
        <v>20</v>
      </c>
      <c r="O13" s="3"/>
      <c r="P13" s="5">
        <v>90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34</v>
      </c>
      <c r="AB13" s="3">
        <v>46134.666666666664</v>
      </c>
      <c r="AC13" s="3" t="s">
        <v>239</v>
      </c>
      <c r="AD13" s="3" t="s">
        <v>35</v>
      </c>
      <c r="AE13" s="5" t="inlineStr">
        <is>
          <t>Log SP: Temp_F1_lab007.csv</t>
        </is>
      </c>
      <c r="AF13" s="5" t="inlineStr">
        <is>
          <t>SP 21 C; registro de temperatura</t>
        </is>
      </c>
      <c r="AG13" s="3"/>
      <c r="AH13" s="3"/>
      <c r="AI13" s="3"/>
      <c r="AJ13" s="3"/>
      <c r="AK13" s="3">
        <v>-0.1</v>
      </c>
      <c r="AL13" s="3">
        <v>2.88</v>
      </c>
      <c r="AM13" s="3">
        <v>0.35</v>
      </c>
      <c r="AN13" s="3">
        <v>59.45</v>
      </c>
      <c r="AO13" s="3">
        <v>21.58</v>
      </c>
      <c r="AP13" s="3">
        <v>3.42</v>
      </c>
      <c r="AQ13" s="3">
        <v>0.36</v>
      </c>
      <c r="AR13" s="3"/>
      <c r="AS13" s="3">
        <v>-0.3</v>
      </c>
      <c r="AT13" s="5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/>
      <c r="BO13" s="3"/>
      <c r="BP13" s="3" t="s">
        <v>245</v>
      </c>
      <c r="BQ13" s="3"/>
      <c r="BR13" s="3"/>
      <c r="BS13" s="3"/>
      <c r="BT13" s="3"/>
      <c r="BU13" s="3"/>
      <c r="BV13" s="3" t="s">
        <v>141</v>
      </c>
      <c r="BW13" s="3"/>
      <c r="BX13" s="3"/>
      <c r="BY13" s="3"/>
    </row>
    <row r="14" spans="1:77">
      <c r="A14" s="3" t="s">
        <v>258</v>
      </c>
      <c r="B14" s="4">
        <v>46135.666666666664</v>
      </c>
      <c r="C14" s="5">
        <v>144</v>
      </c>
      <c r="D14" s="5" t="n">
        <v>21.0</v>
      </c>
      <c r="E14" s="5">
        <v>995.4</v>
      </c>
      <c r="F14" s="5">
        <v>59.91</v>
      </c>
      <c r="G14" s="5">
        <v>0.10299999999999976</v>
      </c>
      <c r="H14" s="5">
        <v>0</v>
      </c>
      <c r="I14" s="5">
        <v>0.03</v>
      </c>
      <c r="J14" s="5">
        <v>27</v>
      </c>
      <c r="K14" s="5">
        <v>0</v>
      </c>
      <c r="L14" s="5">
        <v>27</v>
      </c>
      <c r="M14" s="5">
        <v>6.06</v>
      </c>
      <c r="N14" s="5">
        <v>3</v>
      </c>
      <c r="O14" s="3"/>
      <c r="P14" s="5">
        <v>76</v>
      </c>
      <c r="Q14" s="5">
        <v>10.44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34</v>
      </c>
      <c r="AB14" s="3">
        <v>46135.666666666664</v>
      </c>
      <c r="AC14" s="3" t="s">
        <v>239</v>
      </c>
      <c r="AD14" s="3" t="s">
        <v>35</v>
      </c>
      <c r="AE14" s="5" t="inlineStr">
        <is>
          <t>Log SP: Temp_F1_lab007.csv</t>
        </is>
      </c>
      <c r="AF14" s="5" t="inlineStr">
        <is>
          <t>SP 21 C; registro de temperatura</t>
        </is>
      </c>
      <c r="AG14" s="3"/>
      <c r="AH14" s="3"/>
      <c r="AI14" s="3"/>
      <c r="AJ14" s="3"/>
      <c r="AK14" s="3">
        <v>-0.6</v>
      </c>
      <c r="AL14" s="3">
        <v>2.9</v>
      </c>
      <c r="AM14" s="3"/>
      <c r="AN14" s="3">
        <v>60.83</v>
      </c>
      <c r="AO14" s="3">
        <v>21.46</v>
      </c>
      <c r="AP14" s="3">
        <v>0.03</v>
      </c>
      <c r="AQ14" s="3">
        <v>0.39</v>
      </c>
      <c r="AR14" s="3">
        <v>10.74</v>
      </c>
      <c r="AS14" s="3">
        <v>10.44</v>
      </c>
      <c r="AT14" s="5" t="s">
        <v>125</v>
      </c>
      <c r="AU14" s="3"/>
      <c r="AV14" s="3"/>
      <c r="AW14" s="3"/>
      <c r="AX14" s="3"/>
      <c r="AY14" s="3"/>
      <c r="AZ14" s="3"/>
      <c r="BA14" s="3">
        <v>5.5419999999999998</v>
      </c>
      <c r="BB14" s="3">
        <v>5.6449999999999996</v>
      </c>
      <c r="BC14" s="3" t="s">
        <v>250</v>
      </c>
      <c r="BD14" s="3" t="s">
        <v>243</v>
      </c>
      <c r="BE14" s="3" t="s">
        <v>244</v>
      </c>
      <c r="BF14" s="3"/>
      <c r="BG14" s="3"/>
      <c r="BH14" s="3">
        <v>10</v>
      </c>
      <c r="BI14" s="3">
        <v>0</v>
      </c>
      <c r="BJ14" s="3">
        <v>10.44</v>
      </c>
      <c r="BK14" s="3">
        <v>12.5</v>
      </c>
      <c r="BL14" s="3">
        <v>230.01339883876739</v>
      </c>
      <c r="BM14" s="3">
        <v>9769.9866011612321</v>
      </c>
      <c r="BN14" s="5"/>
      <c r="BO14" s="3"/>
      <c r="BP14" s="3" t="s">
        <v>245</v>
      </c>
      <c r="BQ14" s="3"/>
      <c r="BR14" s="3"/>
      <c r="BS14" s="3"/>
      <c r="BT14" s="3"/>
      <c r="BU14" s="3"/>
      <c r="BV14" s="3" t="s">
        <v>141</v>
      </c>
      <c r="BW14" s="3"/>
      <c r="BX14" s="3"/>
      <c r="BY14" s="3"/>
    </row>
    <row r="15" spans="1:77">
      <c r="A15" s="3" t="s">
        <v>259</v>
      </c>
      <c r="B15" s="4">
        <v>46136.333333333336</v>
      </c>
      <c r="C15" s="5">
        <v>160</v>
      </c>
      <c r="D15" s="5" t="n">
        <v>21.0</v>
      </c>
      <c r="E15" s="5">
        <v>995.6</v>
      </c>
      <c r="F15" s="5"/>
      <c r="G15" s="5">
        <v>9.220000000000006E-2</v>
      </c>
      <c r="H15" s="5">
        <v>0</v>
      </c>
      <c r="I15" s="5">
        <v>0.01</v>
      </c>
      <c r="J15" s="5">
        <v>16</v>
      </c>
      <c r="K15" s="5">
        <v>0</v>
      </c>
      <c r="L15" s="5">
        <v>16</v>
      </c>
      <c r="M15" s="5">
        <v>5.85</v>
      </c>
      <c r="N15" s="5">
        <v>12</v>
      </c>
      <c r="O15" s="3"/>
      <c r="P15" s="5">
        <v>78</v>
      </c>
      <c r="Q15" s="5">
        <v>10.299999999999999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34</v>
      </c>
      <c r="AB15" s="3">
        <v>46136.333333333336</v>
      </c>
      <c r="AC15" s="3" t="s">
        <v>239</v>
      </c>
      <c r="AD15" s="3" t="s">
        <v>35</v>
      </c>
      <c r="AE15" s="5" t="inlineStr">
        <is>
          <t>Log SP: Temp_F1_lab007.csv</t>
        </is>
      </c>
      <c r="AF15" s="5" t="inlineStr">
        <is>
          <t>SP 21 C; registro de temperatura</t>
        </is>
      </c>
      <c r="AG15" s="3"/>
      <c r="AH15" s="3"/>
      <c r="AI15" s="3"/>
      <c r="AJ15" s="3"/>
      <c r="AK15" s="3">
        <v>-0.6</v>
      </c>
      <c r="AL15" s="3">
        <v>2.88</v>
      </c>
      <c r="AM15" s="3"/>
      <c r="AN15" s="3"/>
      <c r="AO15" s="3"/>
      <c r="AP15" s="3">
        <v>0.01</v>
      </c>
      <c r="AQ15" s="3">
        <v>0.33</v>
      </c>
      <c r="AR15" s="3">
        <v>10.6</v>
      </c>
      <c r="AS15" s="3">
        <v>10.299999999999999</v>
      </c>
      <c r="AT15" s="5" t="s">
        <v>125</v>
      </c>
      <c r="AU15" s="3"/>
      <c r="AV15" s="3"/>
      <c r="AW15" s="3"/>
      <c r="AX15" s="3"/>
      <c r="AY15" s="3"/>
      <c r="AZ15" s="3"/>
      <c r="BA15" s="3">
        <v>5.5968</v>
      </c>
      <c r="BB15" s="3">
        <v>5.6890000000000001</v>
      </c>
      <c r="BC15" s="3" t="s">
        <v>131</v>
      </c>
      <c r="BD15" s="3" t="s">
        <v>243</v>
      </c>
      <c r="BE15" s="3"/>
      <c r="BF15" s="3"/>
      <c r="BG15" s="3"/>
      <c r="BH15" s="3">
        <v>10</v>
      </c>
      <c r="BI15" s="3">
        <v>0</v>
      </c>
      <c r="BJ15" s="3">
        <v>10.299999999999999</v>
      </c>
      <c r="BK15" s="3">
        <v>12.5</v>
      </c>
      <c r="BL15" s="3">
        <v>245.26198439241932</v>
      </c>
      <c r="BM15" s="3">
        <v>9754.7380156075815</v>
      </c>
      <c r="BN15" s="5"/>
      <c r="BO15" s="3"/>
      <c r="BP15" s="3" t="s">
        <v>245</v>
      </c>
      <c r="BQ15" s="3"/>
      <c r="BR15" s="3"/>
      <c r="BS15" s="3"/>
      <c r="BT15" s="3"/>
      <c r="BU15" s="3"/>
      <c r="BV15" s="3" t="s">
        <v>141</v>
      </c>
      <c r="BW15" s="3"/>
      <c r="BX15" s="3"/>
      <c r="BY15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15"/>
  <sheetViews>
    <sheetView topLeftCell="AH1" workbookViewId="0">
      <selection activeCell="AM14" sqref="AM14:AM15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  <col min="78" max="78" width="14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t="inlineStr">
        <is>
          <t>pulso real</t>
        </is>
      </c>
    </row>
    <row r="2" spans="1:77">
      <c r="A2" s="3" t="s">
        <v>260</v>
      </c>
      <c r="B2" s="4">
        <v>46129.666666666664</v>
      </c>
      <c r="C2" s="5">
        <v>0</v>
      </c>
      <c r="D2" s="5">
        <v>18</v>
      </c>
      <c r="E2" s="5"/>
      <c r="F2" s="5">
        <v>8.4499999999999993</v>
      </c>
      <c r="G2" s="5">
        <v>5.7000000000000384E-2</v>
      </c>
      <c r="H2" s="5">
        <v>76.209999999999994</v>
      </c>
      <c r="I2" s="5">
        <v>74.89</v>
      </c>
      <c r="J2" s="5">
        <v>99</v>
      </c>
      <c r="K2" s="5">
        <v>171</v>
      </c>
      <c r="L2" s="5">
        <v>239.22</v>
      </c>
      <c r="M2" s="5">
        <v>0.85</v>
      </c>
      <c r="N2" s="5">
        <v>4</v>
      </c>
      <c r="O2" s="3"/>
      <c r="P2" s="5">
        <v>0</v>
      </c>
      <c r="Q2" s="5">
        <v>1.17</v>
      </c>
      <c r="R2" s="3"/>
      <c r="S2" s="3"/>
      <c r="T2" s="3"/>
      <c r="U2" s="3"/>
      <c r="V2" s="3"/>
      <c r="W2" s="3"/>
      <c r="X2" s="3"/>
      <c r="Y2" s="3"/>
      <c r="Z2" s="3"/>
      <c r="AA2" s="3" t="s">
        <v>38</v>
      </c>
      <c r="AB2" s="3">
        <v>46129.666666666664</v>
      </c>
      <c r="AC2" s="3" t="s">
        <v>239</v>
      </c>
      <c r="AD2" s="3" t="s">
        <v>35</v>
      </c>
      <c r="AE2" s="5" t="s">
        <v>240</v>
      </c>
      <c r="AF2" s="5" t="s">
        <v>122</v>
      </c>
      <c r="AG2" s="3" t="s">
        <v>30</v>
      </c>
      <c r="AH2" s="3" t="s">
        <v>261</v>
      </c>
      <c r="AI2" s="3">
        <v>0</v>
      </c>
      <c r="AJ2" s="3" t="s">
        <v>124</v>
      </c>
      <c r="AK2" s="3"/>
      <c r="AL2" s="3">
        <v>3.05</v>
      </c>
      <c r="AM2" s="7">
        <v>1.1599999999999999</v>
      </c>
      <c r="AN2" s="3">
        <v>8.56</v>
      </c>
      <c r="AO2" s="3">
        <v>22.42</v>
      </c>
      <c r="AP2" s="3">
        <v>151.1</v>
      </c>
      <c r="AQ2" s="3">
        <v>0.09</v>
      </c>
      <c r="AR2" s="3">
        <v>1.47</v>
      </c>
      <c r="AS2" s="3">
        <v>1.17</v>
      </c>
      <c r="AT2" s="5" t="s">
        <v>125</v>
      </c>
      <c r="AU2" s="3"/>
      <c r="AV2" s="3"/>
      <c r="AW2" s="3"/>
      <c r="AX2" s="3"/>
      <c r="AY2" s="3"/>
      <c r="AZ2" s="3"/>
      <c r="BA2" s="3">
        <v>5.64</v>
      </c>
      <c r="BB2" s="3">
        <v>5.6970000000000001</v>
      </c>
      <c r="BC2" s="3" t="s">
        <v>131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1.17</v>
      </c>
      <c r="BK2" s="3">
        <v>12.5</v>
      </c>
      <c r="BL2" s="3">
        <v>1146.4130324800162</v>
      </c>
      <c r="BM2" s="3">
        <v>8853.5869675199829</v>
      </c>
      <c r="BN2" s="5"/>
      <c r="BO2" s="3"/>
      <c r="BP2" s="3" t="s">
        <v>245</v>
      </c>
      <c r="BQ2" s="3"/>
      <c r="BR2" s="3"/>
      <c r="BS2" s="3"/>
      <c r="BT2" s="3"/>
      <c r="BU2" s="3"/>
      <c r="BV2" s="3" t="s">
        <v>141</v>
      </c>
      <c r="BW2" s="3"/>
      <c r="BX2" s="3"/>
      <c r="BY2" s="3"/>
    </row>
    <row r="3" spans="1:77">
      <c r="A3" s="3" t="s">
        <v>262</v>
      </c>
      <c r="B3" s="4">
        <v>46130.333333333336</v>
      </c>
      <c r="C3" s="5">
        <v>16</v>
      </c>
      <c r="D3" s="5">
        <v>18</v>
      </c>
      <c r="E3" s="5">
        <v>1063.7</v>
      </c>
      <c r="F3" s="5">
        <v>22.31</v>
      </c>
      <c r="G3" s="5"/>
      <c r="H3" s="5">
        <v>69.44</v>
      </c>
      <c r="I3" s="5">
        <v>71.930000000000007</v>
      </c>
      <c r="J3" s="5">
        <v>71</v>
      </c>
      <c r="K3" s="5">
        <v>139</v>
      </c>
      <c r="L3" s="5">
        <v>184.98</v>
      </c>
      <c r="M3" s="5">
        <v>1.51</v>
      </c>
      <c r="N3" s="5">
        <v>20</v>
      </c>
      <c r="O3" s="3"/>
      <c r="P3" s="5">
        <v>94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38</v>
      </c>
      <c r="AB3" s="3">
        <v>46130.333333333336</v>
      </c>
      <c r="AC3" s="3" t="s">
        <v>239</v>
      </c>
      <c r="AD3" s="3" t="s">
        <v>35</v>
      </c>
      <c r="AE3" s="5" t="s">
        <v>240</v>
      </c>
      <c r="AF3" s="5" t="s">
        <v>122</v>
      </c>
      <c r="AG3" s="3" t="s">
        <v>30</v>
      </c>
      <c r="AH3" s="3"/>
      <c r="AI3" s="3"/>
      <c r="AJ3" s="3"/>
      <c r="AK3" s="3">
        <v>16</v>
      </c>
      <c r="AL3" s="3">
        <v>3.02</v>
      </c>
      <c r="AM3" s="3">
        <v>1.37</v>
      </c>
      <c r="AN3" s="3">
        <v>22.39</v>
      </c>
      <c r="AO3" s="3">
        <v>42.37</v>
      </c>
      <c r="AP3" s="3">
        <v>141.37</v>
      </c>
      <c r="AQ3" s="3">
        <v>0.17</v>
      </c>
      <c r="AR3" s="3"/>
      <c r="AS3" s="3">
        <v>-0.3</v>
      </c>
      <c r="AT3" s="5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/>
      <c r="BO3" s="3"/>
      <c r="BP3" s="3" t="s">
        <v>245</v>
      </c>
      <c r="BQ3" s="3"/>
      <c r="BR3" s="3"/>
      <c r="BS3" s="3"/>
      <c r="BT3" s="3"/>
      <c r="BU3" s="3"/>
      <c r="BV3" s="3" t="s">
        <v>141</v>
      </c>
      <c r="BW3" s="3"/>
      <c r="BX3" s="3"/>
      <c r="BY3" s="3"/>
    </row>
    <row r="4" spans="1:77">
      <c r="A4" s="3" t="s">
        <v>263</v>
      </c>
      <c r="B4" s="4">
        <v>46130.666666666664</v>
      </c>
      <c r="C4" s="5">
        <v>24</v>
      </c>
      <c r="D4" s="5">
        <v>18</v>
      </c>
      <c r="E4" s="5">
        <v>1062.3</v>
      </c>
      <c r="F4" s="5">
        <v>24.92</v>
      </c>
      <c r="G4" s="5"/>
      <c r="H4" s="5">
        <v>70.84</v>
      </c>
      <c r="I4" s="5">
        <v>74.78</v>
      </c>
      <c r="J4" s="5">
        <v>69</v>
      </c>
      <c r="K4" s="5">
        <v>134</v>
      </c>
      <c r="L4" s="5">
        <v>178.88</v>
      </c>
      <c r="M4" s="5">
        <v>1.42</v>
      </c>
      <c r="N4" s="5">
        <v>21</v>
      </c>
      <c r="O4" s="3"/>
      <c r="P4" s="5">
        <v>97</v>
      </c>
      <c r="Q4" s="5">
        <v>2.64</v>
      </c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>
        <v>46130.666666666664</v>
      </c>
      <c r="AC4" s="3" t="s">
        <v>239</v>
      </c>
      <c r="AD4" s="3" t="s">
        <v>35</v>
      </c>
      <c r="AE4" s="5" t="s">
        <v>240</v>
      </c>
      <c r="AF4" s="5" t="s">
        <v>122</v>
      </c>
      <c r="AG4" s="3" t="s">
        <v>30</v>
      </c>
      <c r="AH4" s="3"/>
      <c r="AI4" s="3"/>
      <c r="AJ4" s="3"/>
      <c r="AK4" s="3">
        <v>15.7</v>
      </c>
      <c r="AL4" s="3">
        <v>3.01</v>
      </c>
      <c r="AM4" s="3">
        <v>1.2</v>
      </c>
      <c r="AN4" s="3">
        <v>24.92</v>
      </c>
      <c r="AO4" s="3">
        <v>40.22</v>
      </c>
      <c r="AP4" s="3">
        <v>145.62</v>
      </c>
      <c r="AQ4" s="3">
        <v>0.16</v>
      </c>
      <c r="AR4" s="3">
        <v>2.94</v>
      </c>
      <c r="AS4" s="3">
        <v>2.64</v>
      </c>
      <c r="AT4" s="5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/>
      <c r="BO4" s="3"/>
      <c r="BP4" s="3" t="s">
        <v>245</v>
      </c>
      <c r="BQ4" s="3"/>
      <c r="BR4" s="3"/>
      <c r="BS4" s="3"/>
      <c r="BT4" s="3"/>
      <c r="BU4" s="3"/>
      <c r="BV4" s="3" t="s">
        <v>141</v>
      </c>
      <c r="BW4" s="3"/>
      <c r="BX4" s="3"/>
      <c r="BY4" s="3"/>
    </row>
    <row r="5" spans="1:77">
      <c r="A5" s="3" t="s">
        <v>264</v>
      </c>
      <c r="B5" s="4">
        <v>46131.333333333336</v>
      </c>
      <c r="C5" s="5">
        <v>40</v>
      </c>
      <c r="D5" s="5">
        <v>18</v>
      </c>
      <c r="E5" s="5">
        <v>1051.2</v>
      </c>
      <c r="F5" s="5">
        <v>41.94</v>
      </c>
      <c r="G5" s="5"/>
      <c r="H5" s="5">
        <v>57.24</v>
      </c>
      <c r="I5" s="5">
        <v>62.199999999999996</v>
      </c>
      <c r="J5" s="5">
        <v>36</v>
      </c>
      <c r="K5" s="5">
        <v>34</v>
      </c>
      <c r="L5" s="5">
        <v>63.879999999999995</v>
      </c>
      <c r="M5" s="5">
        <v>3.23</v>
      </c>
      <c r="N5" s="5">
        <v>41</v>
      </c>
      <c r="O5" s="3"/>
      <c r="P5" s="5">
        <v>108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38</v>
      </c>
      <c r="AB5" s="3">
        <v>46131.333333333336</v>
      </c>
      <c r="AC5" s="3" t="s">
        <v>239</v>
      </c>
      <c r="AD5" s="3" t="s">
        <v>35</v>
      </c>
      <c r="AE5" s="5" t="s">
        <v>240</v>
      </c>
      <c r="AF5" s="5" t="s">
        <v>122</v>
      </c>
      <c r="AG5" s="3" t="s">
        <v>30</v>
      </c>
      <c r="AH5" s="3"/>
      <c r="AI5" s="3"/>
      <c r="AJ5" s="3"/>
      <c r="AK5" s="3">
        <v>13.1</v>
      </c>
      <c r="AL5" s="3">
        <v>2.85</v>
      </c>
      <c r="AM5" s="3">
        <v>1.22</v>
      </c>
      <c r="AN5" s="3">
        <v>42.13</v>
      </c>
      <c r="AO5" s="3">
        <v>24.25</v>
      </c>
      <c r="AP5" s="3">
        <v>119.44</v>
      </c>
      <c r="AQ5" s="3">
        <v>0.23</v>
      </c>
      <c r="AR5" s="3"/>
      <c r="AS5" s="3">
        <v>-0.3</v>
      </c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/>
      <c r="BO5" s="3"/>
      <c r="BP5" s="3" t="s">
        <v>245</v>
      </c>
      <c r="BQ5" s="3"/>
      <c r="BR5" s="3"/>
      <c r="BS5" s="3"/>
      <c r="BT5" s="3"/>
      <c r="BU5" s="3"/>
      <c r="BV5" s="3" t="s">
        <v>141</v>
      </c>
      <c r="BW5" s="3"/>
      <c r="BX5" s="3"/>
      <c r="BY5" s="3"/>
    </row>
    <row r="6" spans="1:77">
      <c r="A6" s="3" t="s">
        <v>265</v>
      </c>
      <c r="B6" s="4">
        <v>46131.666666666664</v>
      </c>
      <c r="C6" s="5">
        <v>48</v>
      </c>
      <c r="D6" s="5">
        <v>18</v>
      </c>
      <c r="E6" s="5">
        <v>1047</v>
      </c>
      <c r="F6" s="5">
        <v>49.31</v>
      </c>
      <c r="G6" s="5">
        <v>8.3999999999999631E-2</v>
      </c>
      <c r="H6" s="5">
        <v>50.13</v>
      </c>
      <c r="I6" s="5">
        <v>55.37</v>
      </c>
      <c r="J6" s="5">
        <v>33</v>
      </c>
      <c r="K6" s="5">
        <v>5</v>
      </c>
      <c r="L6" s="5">
        <v>37.1</v>
      </c>
      <c r="M6" s="5">
        <v>3.3</v>
      </c>
      <c r="N6" s="5">
        <v>41</v>
      </c>
      <c r="O6" s="3"/>
      <c r="P6" s="5">
        <v>127</v>
      </c>
      <c r="Q6" s="5">
        <v>3.8100000000000005</v>
      </c>
      <c r="R6" s="3"/>
      <c r="S6" s="3"/>
      <c r="T6" s="3"/>
      <c r="U6" s="3"/>
      <c r="V6" s="3"/>
      <c r="W6" s="3"/>
      <c r="X6" s="3"/>
      <c r="Y6" s="3"/>
      <c r="Z6" s="3"/>
      <c r="AA6" s="3" t="s">
        <v>38</v>
      </c>
      <c r="AB6" s="3">
        <v>46131.666666666664</v>
      </c>
      <c r="AC6" s="3" t="s">
        <v>239</v>
      </c>
      <c r="AD6" s="3" t="s">
        <v>35</v>
      </c>
      <c r="AE6" s="5" t="s">
        <v>240</v>
      </c>
      <c r="AF6" s="5" t="s">
        <v>122</v>
      </c>
      <c r="AG6" s="3" t="s">
        <v>30</v>
      </c>
      <c r="AH6" s="3"/>
      <c r="AI6" s="3"/>
      <c r="AJ6" s="3"/>
      <c r="AK6" s="3">
        <v>12.1</v>
      </c>
      <c r="AL6" s="3">
        <v>2.8</v>
      </c>
      <c r="AM6" s="3">
        <v>0.74</v>
      </c>
      <c r="AN6" s="3">
        <v>49.39</v>
      </c>
      <c r="AO6" s="3">
        <v>23.09</v>
      </c>
      <c r="AP6" s="3">
        <v>105.5</v>
      </c>
      <c r="AQ6" s="3">
        <v>0.19</v>
      </c>
      <c r="AR6" s="3">
        <v>4.1100000000000003</v>
      </c>
      <c r="AS6" s="3">
        <v>3.8100000000000005</v>
      </c>
      <c r="AT6" s="5" t="s">
        <v>125</v>
      </c>
      <c r="AU6" s="3"/>
      <c r="AV6" s="3"/>
      <c r="AW6" s="3"/>
      <c r="AX6" s="3"/>
      <c r="AY6" s="3"/>
      <c r="AZ6" s="3"/>
      <c r="BA6" s="3">
        <v>5.53</v>
      </c>
      <c r="BB6" s="3">
        <v>5.6139999999999999</v>
      </c>
      <c r="BC6" s="3" t="s">
        <v>250</v>
      </c>
      <c r="BD6" s="3" t="s">
        <v>243</v>
      </c>
      <c r="BE6" s="3" t="s">
        <v>244</v>
      </c>
      <c r="BF6" s="3"/>
      <c r="BG6" s="3"/>
      <c r="BH6" s="3">
        <v>10</v>
      </c>
      <c r="BI6" s="3">
        <v>0</v>
      </c>
      <c r="BJ6" s="3">
        <v>3.8100000000000005</v>
      </c>
      <c r="BK6" s="3">
        <v>12.5</v>
      </c>
      <c r="BL6" s="3">
        <v>903.42031396195023</v>
      </c>
      <c r="BM6" s="3">
        <v>9096.5796860380506</v>
      </c>
      <c r="BN6" s="5"/>
      <c r="BO6" s="3"/>
      <c r="BP6" s="3" t="s">
        <v>245</v>
      </c>
      <c r="BQ6" s="3"/>
      <c r="BR6" s="3"/>
      <c r="BS6" s="3"/>
      <c r="BT6" s="3"/>
      <c r="BU6" s="3"/>
      <c r="BV6" s="3" t="s">
        <v>141</v>
      </c>
      <c r="BW6" s="3"/>
      <c r="BX6" s="3"/>
      <c r="BY6" s="3"/>
    </row>
    <row r="7" spans="1:77">
      <c r="A7" s="3" t="s">
        <v>266</v>
      </c>
      <c r="B7" s="4">
        <v>46132.333333333336</v>
      </c>
      <c r="C7" s="5">
        <v>64</v>
      </c>
      <c r="D7" s="5">
        <v>18</v>
      </c>
      <c r="E7" s="5">
        <v>1034.2</v>
      </c>
      <c r="F7" s="5">
        <v>62.37</v>
      </c>
      <c r="G7" s="5"/>
      <c r="H7" s="5">
        <v>29.88</v>
      </c>
      <c r="I7" s="5">
        <v>51.320000000000007</v>
      </c>
      <c r="J7" s="5">
        <v>11</v>
      </c>
      <c r="K7" s="5">
        <v>0</v>
      </c>
      <c r="L7" s="5">
        <v>11</v>
      </c>
      <c r="M7" s="5">
        <v>4.16</v>
      </c>
      <c r="N7" s="5">
        <v>37</v>
      </c>
      <c r="O7" s="3"/>
      <c r="P7" s="5">
        <v>102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38</v>
      </c>
      <c r="AB7" s="3">
        <v>46132.333333333336</v>
      </c>
      <c r="AC7" s="3" t="s">
        <v>239</v>
      </c>
      <c r="AD7" s="3" t="s">
        <v>35</v>
      </c>
      <c r="AE7" s="5" t="s">
        <v>240</v>
      </c>
      <c r="AF7" s="5" t="s">
        <v>122</v>
      </c>
      <c r="AG7" s="3" t="s">
        <v>30</v>
      </c>
      <c r="AH7" s="3"/>
      <c r="AI7" s="3"/>
      <c r="AJ7" s="3"/>
      <c r="AK7" s="3">
        <v>9</v>
      </c>
      <c r="AL7" s="3">
        <v>2.79</v>
      </c>
      <c r="AM7" s="3">
        <v>0.76</v>
      </c>
      <c r="AN7" s="3">
        <v>62.52</v>
      </c>
      <c r="AO7" s="3">
        <v>22.48</v>
      </c>
      <c r="AP7" s="3">
        <v>81.2</v>
      </c>
      <c r="AQ7" s="3">
        <v>0.36</v>
      </c>
      <c r="AR7" s="3"/>
      <c r="AS7" s="3">
        <v>-0.3</v>
      </c>
      <c r="AT7" s="5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/>
      <c r="BO7" s="3"/>
      <c r="BP7" s="3" t="s">
        <v>245</v>
      </c>
      <c r="BQ7" s="3"/>
      <c r="BR7" s="3"/>
      <c r="BS7" s="3"/>
      <c r="BT7" s="3"/>
      <c r="BU7" s="3"/>
      <c r="BV7" s="3" t="s">
        <v>141</v>
      </c>
      <c r="BW7" s="3"/>
      <c r="BX7" s="3"/>
      <c r="BY7" s="3"/>
    </row>
    <row r="8" spans="1:77">
      <c r="A8" s="3" t="s">
        <v>266</v>
      </c>
      <c r="B8" s="4">
        <f>B7+1/24</f>
        <v>46132.375</v>
      </c>
      <c r="C8" s="5">
        <v>65</v>
      </c>
      <c r="D8" s="5">
        <v>18</v>
      </c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t="n">
        <v>65.5</v>
      </c>
    </row>
    <row r="9" spans="1:77">
      <c r="A9" s="3" t="s">
        <v>267</v>
      </c>
      <c r="B9" s="4">
        <v>46132.666666666664</v>
      </c>
      <c r="C9" s="5">
        <v>72</v>
      </c>
      <c r="D9" s="5">
        <v>18</v>
      </c>
      <c r="E9" s="5">
        <v>1026.8</v>
      </c>
      <c r="F9" s="5">
        <v>51.69</v>
      </c>
      <c r="G9" s="5"/>
      <c r="H9" s="5">
        <v>23.94</v>
      </c>
      <c r="I9" s="5">
        <v>45.39</v>
      </c>
      <c r="J9" s="5">
        <v>24</v>
      </c>
      <c r="K9" s="5">
        <v>29</v>
      </c>
      <c r="L9" s="5">
        <v>47.78</v>
      </c>
      <c r="M9" s="5">
        <v>3.53</v>
      </c>
      <c r="N9" s="5">
        <v>42</v>
      </c>
      <c r="O9" s="3"/>
      <c r="P9" s="5">
        <v>118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38</v>
      </c>
      <c r="AB9" s="3">
        <v>46132.666666666664</v>
      </c>
      <c r="AC9" s="3" t="s">
        <v>239</v>
      </c>
      <c r="AD9" s="3" t="s">
        <v>35</v>
      </c>
      <c r="AE9" s="5" t="s">
        <v>240</v>
      </c>
      <c r="AF9" s="5" t="s">
        <v>122</v>
      </c>
      <c r="AG9" s="3" t="s">
        <v>30</v>
      </c>
      <c r="AH9" s="3"/>
      <c r="AI9" s="3"/>
      <c r="AJ9" s="3"/>
      <c r="AK9" s="3">
        <v>7.3</v>
      </c>
      <c r="AL9" s="3">
        <v>2.85</v>
      </c>
      <c r="AM9" s="3">
        <v>0.31</v>
      </c>
      <c r="AN9" s="3">
        <v>51.92</v>
      </c>
      <c r="AO9" s="3">
        <v>27.81</v>
      </c>
      <c r="AP9" s="3">
        <v>69.33</v>
      </c>
      <c r="AQ9" s="3">
        <v>0.31</v>
      </c>
      <c r="AR9" s="3"/>
      <c r="AS9" s="3">
        <v>-0.3</v>
      </c>
      <c r="AT9" s="5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/>
      <c r="BO9" s="3"/>
      <c r="BP9" s="3" t="s">
        <v>245</v>
      </c>
      <c r="BQ9" s="3"/>
      <c r="BR9" s="3"/>
      <c r="BS9" s="3"/>
      <c r="BT9" s="3"/>
      <c r="BU9" s="3"/>
      <c r="BV9" s="3" t="s">
        <v>141</v>
      </c>
      <c r="BW9" s="3"/>
      <c r="BX9" s="3"/>
      <c r="BY9" s="3"/>
    </row>
    <row r="10" spans="1:77">
      <c r="A10" s="3" t="s">
        <v>268</v>
      </c>
      <c r="B10" s="4">
        <v>46133.333333333336</v>
      </c>
      <c r="C10" s="5">
        <v>88</v>
      </c>
      <c r="D10" s="5">
        <v>18</v>
      </c>
      <c r="E10" s="5">
        <v>1014.2</v>
      </c>
      <c r="F10" s="5">
        <v>58.99</v>
      </c>
      <c r="G10" s="5">
        <v>0.12199999999999989</v>
      </c>
      <c r="H10" s="5">
        <v>11.46</v>
      </c>
      <c r="I10" s="5">
        <v>25.83</v>
      </c>
      <c r="J10" s="5">
        <v>18</v>
      </c>
      <c r="K10" s="5">
        <v>0</v>
      </c>
      <c r="L10" s="5">
        <v>18</v>
      </c>
      <c r="M10" s="5">
        <v>5.27</v>
      </c>
      <c r="N10" s="5">
        <v>37</v>
      </c>
      <c r="O10" s="3"/>
      <c r="P10" s="5">
        <v>102</v>
      </c>
      <c r="Q10" s="5">
        <v>7.87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38</v>
      </c>
      <c r="AB10" s="3">
        <v>46133.333333333336</v>
      </c>
      <c r="AC10" s="3" t="s">
        <v>239</v>
      </c>
      <c r="AD10" s="3" t="s">
        <v>35</v>
      </c>
      <c r="AE10" s="5" t="s">
        <v>240</v>
      </c>
      <c r="AF10" s="5" t="s">
        <v>122</v>
      </c>
      <c r="AG10" s="3" t="s">
        <v>30</v>
      </c>
      <c r="AH10" s="3"/>
      <c r="AI10" s="3"/>
      <c r="AJ10" s="3"/>
      <c r="AK10" s="3">
        <v>4</v>
      </c>
      <c r="AL10" s="3">
        <v>2.8</v>
      </c>
      <c r="AM10" s="3">
        <v>0.47</v>
      </c>
      <c r="AN10" s="3">
        <v>59.37</v>
      </c>
      <c r="AO10" s="3">
        <v>21.86</v>
      </c>
      <c r="AP10" s="3">
        <v>37.29</v>
      </c>
      <c r="AQ10" s="3">
        <v>0.3</v>
      </c>
      <c r="AR10" s="3">
        <v>8.17</v>
      </c>
      <c r="AS10" s="3">
        <v>7.87</v>
      </c>
      <c r="AT10" s="5" t="s">
        <v>125</v>
      </c>
      <c r="AU10" s="3"/>
      <c r="AV10" s="3"/>
      <c r="AW10" s="3"/>
      <c r="AX10" s="3"/>
      <c r="AY10" s="3"/>
      <c r="AZ10" s="3"/>
      <c r="BA10" s="3">
        <v>5.61</v>
      </c>
      <c r="BB10" s="3">
        <v>5.7320000000000002</v>
      </c>
      <c r="BC10" s="3" t="s">
        <v>250</v>
      </c>
      <c r="BD10" s="3" t="s">
        <v>243</v>
      </c>
      <c r="BE10" s="3" t="s">
        <v>244</v>
      </c>
      <c r="BF10" s="3"/>
      <c r="BG10" s="3"/>
      <c r="BH10" s="3">
        <v>10</v>
      </c>
      <c r="BI10" s="3">
        <v>0</v>
      </c>
      <c r="BJ10" s="3">
        <v>7.87</v>
      </c>
      <c r="BK10" s="3">
        <v>12.5</v>
      </c>
      <c r="BL10" s="3">
        <v>502.55074351459893</v>
      </c>
      <c r="BM10" s="3">
        <v>9497.4492564854008</v>
      </c>
      <c r="BN10" s="5"/>
      <c r="BO10" s="3"/>
      <c r="BP10" s="3" t="s">
        <v>245</v>
      </c>
      <c r="BQ10" s="3"/>
      <c r="BR10" s="3"/>
      <c r="BS10" s="3"/>
      <c r="BT10" s="3"/>
      <c r="BU10" s="3"/>
      <c r="BV10" s="3" t="s">
        <v>141</v>
      </c>
      <c r="BW10" s="3"/>
      <c r="BX10" s="3"/>
      <c r="BY10" s="3"/>
    </row>
    <row r="11" spans="1:77">
      <c r="A11" s="3" t="s">
        <v>269</v>
      </c>
      <c r="B11" s="4">
        <v>46133.666666666664</v>
      </c>
      <c r="C11" s="5">
        <v>96</v>
      </c>
      <c r="D11" s="5">
        <v>21</v>
      </c>
      <c r="E11" s="5">
        <v>1009.4</v>
      </c>
      <c r="F11" s="5">
        <v>61.98</v>
      </c>
      <c r="G11" s="5"/>
      <c r="H11" s="5">
        <v>6.84</v>
      </c>
      <c r="I11" s="5">
        <v>23.66</v>
      </c>
      <c r="J11" s="5">
        <v>20</v>
      </c>
      <c r="K11" s="5">
        <v>0</v>
      </c>
      <c r="L11" s="5">
        <v>20</v>
      </c>
      <c r="M11" s="5">
        <v>5.33</v>
      </c>
      <c r="N11" s="5">
        <v>36</v>
      </c>
      <c r="O11" s="3"/>
      <c r="P11" s="5">
        <v>90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38</v>
      </c>
      <c r="AB11" s="3">
        <v>46133.666666666664</v>
      </c>
      <c r="AC11" s="3" t="s">
        <v>239</v>
      </c>
      <c r="AD11" s="3" t="s">
        <v>35</v>
      </c>
      <c r="AE11" s="5" t="s">
        <v>176</v>
      </c>
      <c r="AF11" s="5" t="s">
        <v>270</v>
      </c>
      <c r="AG11" s="3" t="s">
        <v>30</v>
      </c>
      <c r="AH11" s="3"/>
      <c r="AI11" s="3"/>
      <c r="AJ11" s="3"/>
      <c r="AK11" s="3">
        <v>2.9</v>
      </c>
      <c r="AL11" s="3">
        <v>2.82</v>
      </c>
      <c r="AM11" s="3">
        <v>0.35</v>
      </c>
      <c r="AN11" s="3">
        <v>62.6</v>
      </c>
      <c r="AO11" s="3">
        <v>23.93</v>
      </c>
      <c r="AP11" s="3">
        <v>30.5</v>
      </c>
      <c r="AQ11" s="3">
        <v>0.36</v>
      </c>
      <c r="AR11" s="3"/>
      <c r="AS11" s="3">
        <v>-0.3</v>
      </c>
      <c r="AT11" s="5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/>
      <c r="BO11" s="3"/>
      <c r="BP11" s="3" t="s">
        <v>245</v>
      </c>
      <c r="BQ11" s="3"/>
      <c r="BR11" s="3"/>
      <c r="BS11" s="3"/>
      <c r="BT11" s="3"/>
      <c r="BU11" s="3"/>
      <c r="BV11" s="3" t="s">
        <v>141</v>
      </c>
      <c r="BW11" s="3"/>
      <c r="BX11" s="3"/>
      <c r="BY11" s="3"/>
    </row>
    <row r="12" spans="1:77">
      <c r="A12" s="3" t="s">
        <v>271</v>
      </c>
      <c r="B12" s="4">
        <v>46134.333333333336</v>
      </c>
      <c r="C12" s="5">
        <v>112</v>
      </c>
      <c r="D12" s="5">
        <v>21</v>
      </c>
      <c r="E12" s="5">
        <v>999.2</v>
      </c>
      <c r="F12" s="5">
        <v>63.44</v>
      </c>
      <c r="G12" s="5"/>
      <c r="H12" s="5">
        <v>0.36</v>
      </c>
      <c r="I12" s="5">
        <v>6.05</v>
      </c>
      <c r="J12" s="5">
        <v>5</v>
      </c>
      <c r="K12" s="5">
        <v>0</v>
      </c>
      <c r="L12" s="5">
        <v>5</v>
      </c>
      <c r="M12" s="5">
        <v>5.67</v>
      </c>
      <c r="N12" s="5">
        <v>21</v>
      </c>
      <c r="O12" s="3"/>
      <c r="P12" s="5">
        <v>89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38</v>
      </c>
      <c r="AB12" s="3">
        <v>46134.333333333336</v>
      </c>
      <c r="AC12" s="3" t="s">
        <v>239</v>
      </c>
      <c r="AD12" s="3" t="s">
        <v>35</v>
      </c>
      <c r="AE12" s="5" t="s">
        <v>176</v>
      </c>
      <c r="AF12" s="5" t="s">
        <v>270</v>
      </c>
      <c r="AG12" s="3" t="s">
        <v>30</v>
      </c>
      <c r="AH12" s="3"/>
      <c r="AI12" s="3"/>
      <c r="AJ12" s="3"/>
      <c r="AK12" s="3">
        <v>0.3</v>
      </c>
      <c r="AL12" s="3">
        <v>2.86</v>
      </c>
      <c r="AM12" s="3">
        <v>0.34</v>
      </c>
      <c r="AN12" s="3">
        <v>63.9</v>
      </c>
      <c r="AO12" s="3">
        <v>22.96</v>
      </c>
      <c r="AP12" s="3">
        <v>6.41</v>
      </c>
      <c r="AQ12" s="3">
        <v>0.37</v>
      </c>
      <c r="AR12" s="3"/>
      <c r="AS12" s="3">
        <v>-0.3</v>
      </c>
      <c r="AT12" s="5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/>
      <c r="BO12" s="3"/>
      <c r="BP12" s="3" t="s">
        <v>245</v>
      </c>
      <c r="BQ12" s="3"/>
      <c r="BR12" s="3"/>
      <c r="BS12" s="3"/>
      <c r="BT12" s="3"/>
      <c r="BU12" s="3"/>
      <c r="BV12" s="3" t="s">
        <v>141</v>
      </c>
      <c r="BW12" s="3"/>
      <c r="BX12" s="3"/>
      <c r="BY12" s="3"/>
    </row>
    <row r="13" spans="1:77">
      <c r="A13" s="3" t="s">
        <v>272</v>
      </c>
      <c r="B13" s="4">
        <v>46134.666666666664</v>
      </c>
      <c r="C13" s="5">
        <v>120</v>
      </c>
      <c r="D13" s="5">
        <v>21</v>
      </c>
      <c r="E13" s="5">
        <v>997.1</v>
      </c>
      <c r="F13" s="5">
        <v>58.06</v>
      </c>
      <c r="G13" s="5"/>
      <c r="H13" s="5">
        <v>0.05</v>
      </c>
      <c r="I13" s="5">
        <v>2.8400000000000003</v>
      </c>
      <c r="J13" s="5">
        <v>6</v>
      </c>
      <c r="K13" s="5">
        <v>0</v>
      </c>
      <c r="L13" s="5">
        <v>6</v>
      </c>
      <c r="M13" s="5">
        <v>5.48</v>
      </c>
      <c r="N13" s="5">
        <v>20</v>
      </c>
      <c r="O13" s="3"/>
      <c r="P13" s="5">
        <v>87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38</v>
      </c>
      <c r="AB13" s="3">
        <v>46134.666666666664</v>
      </c>
      <c r="AC13" s="3" t="s">
        <v>239</v>
      </c>
      <c r="AD13" s="3" t="s">
        <v>35</v>
      </c>
      <c r="AE13" s="5" t="s">
        <v>176</v>
      </c>
      <c r="AF13" s="5" t="s">
        <v>270</v>
      </c>
      <c r="AG13" s="3" t="s">
        <v>30</v>
      </c>
      <c r="AH13" s="3"/>
      <c r="AI13" s="3"/>
      <c r="AJ13" s="3"/>
      <c r="AK13" s="3">
        <v>-0.2</v>
      </c>
      <c r="AL13" s="3">
        <v>2.86</v>
      </c>
      <c r="AM13" s="3">
        <v>0.52</v>
      </c>
      <c r="AN13" s="3">
        <v>59.06</v>
      </c>
      <c r="AO13" s="3">
        <v>23.54</v>
      </c>
      <c r="AP13" s="3">
        <v>2.89</v>
      </c>
      <c r="AQ13" s="3">
        <v>0.34</v>
      </c>
      <c r="AR13" s="3"/>
      <c r="AS13" s="3">
        <v>-0.3</v>
      </c>
      <c r="AT13" s="5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/>
      <c r="BO13" s="3"/>
      <c r="BP13" s="3" t="s">
        <v>245</v>
      </c>
      <c r="BQ13" s="3"/>
      <c r="BR13" s="3"/>
      <c r="BS13" s="3"/>
      <c r="BT13" s="3"/>
      <c r="BU13" s="3"/>
      <c r="BV13" s="3" t="s">
        <v>141</v>
      </c>
      <c r="BW13" s="3"/>
      <c r="BX13" s="3"/>
      <c r="BY13" s="3"/>
    </row>
    <row r="14" spans="1:77">
      <c r="A14" s="3" t="s">
        <v>273</v>
      </c>
      <c r="B14" s="4">
        <v>46135.666666666664</v>
      </c>
      <c r="C14" s="5">
        <v>144</v>
      </c>
      <c r="D14" s="5">
        <v>21</v>
      </c>
      <c r="E14" s="5">
        <v>995.4</v>
      </c>
      <c r="F14" s="5">
        <v>63.44</v>
      </c>
      <c r="G14" s="5">
        <v>0.12100000000000044</v>
      </c>
      <c r="H14" s="5">
        <v>0</v>
      </c>
      <c r="I14" s="5">
        <v>0.03</v>
      </c>
      <c r="J14" s="5">
        <v>27</v>
      </c>
      <c r="K14" s="5">
        <v>0</v>
      </c>
      <c r="L14" s="5">
        <v>27</v>
      </c>
      <c r="M14" s="5">
        <v>5.82</v>
      </c>
      <c r="N14" s="5">
        <v>6</v>
      </c>
      <c r="O14" s="3"/>
      <c r="P14" s="5">
        <v>77</v>
      </c>
      <c r="Q14" s="5">
        <v>10.44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38</v>
      </c>
      <c r="AB14" s="3">
        <v>46135.666666666664</v>
      </c>
      <c r="AC14" s="3" t="s">
        <v>239</v>
      </c>
      <c r="AD14" s="3" t="s">
        <v>35</v>
      </c>
      <c r="AE14" s="5" t="s">
        <v>176</v>
      </c>
      <c r="AF14" s="5" t="s">
        <v>270</v>
      </c>
      <c r="AG14" s="3" t="s">
        <v>30</v>
      </c>
      <c r="AH14" s="3"/>
      <c r="AI14" s="3"/>
      <c r="AJ14" s="3"/>
      <c r="AK14" s="3">
        <v>-0.6</v>
      </c>
      <c r="AL14" s="3">
        <v>2.89</v>
      </c>
      <c r="AM14" s="3"/>
      <c r="AN14" s="3">
        <v>64.44</v>
      </c>
      <c r="AO14" s="3">
        <v>17.88</v>
      </c>
      <c r="AP14" s="3">
        <v>0.03</v>
      </c>
      <c r="AQ14" s="3">
        <v>0.35</v>
      </c>
      <c r="AR14" s="3">
        <v>10.74</v>
      </c>
      <c r="AS14" s="3">
        <v>10.44</v>
      </c>
      <c r="AT14" s="5" t="s">
        <v>125</v>
      </c>
      <c r="AU14" s="3"/>
      <c r="AV14" s="3"/>
      <c r="AW14" s="3"/>
      <c r="AX14" s="3"/>
      <c r="AY14" s="3"/>
      <c r="AZ14" s="3"/>
      <c r="BA14" s="3">
        <v>5.585</v>
      </c>
      <c r="BB14" s="3">
        <v>5.7060000000000004</v>
      </c>
      <c r="BC14" s="3" t="s">
        <v>250</v>
      </c>
      <c r="BD14" s="3" t="s">
        <v>243</v>
      </c>
      <c r="BE14" s="3" t="s">
        <v>244</v>
      </c>
      <c r="BF14" s="3"/>
      <c r="BG14" s="3"/>
      <c r="BH14" s="3">
        <v>10</v>
      </c>
      <c r="BI14" s="3">
        <v>0</v>
      </c>
      <c r="BJ14" s="3">
        <v>10.44</v>
      </c>
      <c r="BK14" s="3">
        <v>12.5</v>
      </c>
      <c r="BL14" s="3">
        <v>230.01339883876739</v>
      </c>
      <c r="BM14" s="3">
        <v>9769.9866011612321</v>
      </c>
      <c r="BN14" s="5"/>
      <c r="BO14" s="3"/>
      <c r="BP14" s="3" t="s">
        <v>245</v>
      </c>
      <c r="BQ14" s="3"/>
      <c r="BR14" s="3"/>
      <c r="BS14" s="3"/>
      <c r="BT14" s="3"/>
      <c r="BU14" s="3"/>
      <c r="BV14" s="3" t="s">
        <v>141</v>
      </c>
      <c r="BW14" s="3"/>
      <c r="BX14" s="3"/>
      <c r="BY14" s="3"/>
    </row>
    <row r="15" spans="1:77">
      <c r="A15" s="3" t="s">
        <v>274</v>
      </c>
      <c r="B15" s="4">
        <v>46136.333333333336</v>
      </c>
      <c r="C15" s="5">
        <v>160</v>
      </c>
      <c r="D15" s="5">
        <v>21</v>
      </c>
      <c r="E15" s="5">
        <v>994.5</v>
      </c>
      <c r="F15" s="5"/>
      <c r="G15" s="5">
        <v>0.10299999999999976</v>
      </c>
      <c r="H15" s="5">
        <v>0</v>
      </c>
      <c r="I15" s="5">
        <v>0</v>
      </c>
      <c r="J15" s="5">
        <v>15</v>
      </c>
      <c r="K15" s="5">
        <v>0</v>
      </c>
      <c r="L15" s="5">
        <v>15</v>
      </c>
      <c r="M15" s="5">
        <v>5.87</v>
      </c>
      <c r="N15" s="5">
        <v>0</v>
      </c>
      <c r="O15" s="3"/>
      <c r="P15" s="5">
        <v>80</v>
      </c>
      <c r="Q15" s="5">
        <v>10.379999999999999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38</v>
      </c>
      <c r="AB15" s="3">
        <v>46136.333333333336</v>
      </c>
      <c r="AC15" s="3" t="s">
        <v>239</v>
      </c>
      <c r="AD15" s="3" t="s">
        <v>35</v>
      </c>
      <c r="AE15" s="5" t="s">
        <v>176</v>
      </c>
      <c r="AF15" s="5" t="s">
        <v>270</v>
      </c>
      <c r="AG15" s="3" t="s">
        <v>30</v>
      </c>
      <c r="AH15" s="3"/>
      <c r="AI15" s="3"/>
      <c r="AJ15" s="3"/>
      <c r="AK15" s="3">
        <v>-0.8</v>
      </c>
      <c r="AL15" s="3">
        <v>2.88</v>
      </c>
      <c r="AM15" s="3"/>
      <c r="AN15" s="3"/>
      <c r="AO15" s="3"/>
      <c r="AP15" s="3">
        <v>0</v>
      </c>
      <c r="AQ15" s="3">
        <v>0.32</v>
      </c>
      <c r="AR15" s="3">
        <v>10.68</v>
      </c>
      <c r="AS15" s="3">
        <v>10.379999999999999</v>
      </c>
      <c r="AT15" s="5" t="s">
        <v>125</v>
      </c>
      <c r="AU15" s="3"/>
      <c r="AV15" s="3"/>
      <c r="AW15" s="3"/>
      <c r="AX15" s="3"/>
      <c r="AY15" s="3"/>
      <c r="AZ15" s="3"/>
      <c r="BA15" s="3">
        <v>5.5890000000000004</v>
      </c>
      <c r="BB15" s="3">
        <v>5.6920000000000002</v>
      </c>
      <c r="BC15" s="3" t="s">
        <v>131</v>
      </c>
      <c r="BD15" s="3" t="s">
        <v>243</v>
      </c>
      <c r="BE15" s="3"/>
      <c r="BF15" s="3"/>
      <c r="BG15" s="3"/>
      <c r="BH15" s="3">
        <v>10</v>
      </c>
      <c r="BI15" s="3">
        <v>0</v>
      </c>
      <c r="BJ15" s="3">
        <v>10.379999999999999</v>
      </c>
      <c r="BK15" s="3">
        <v>12.5</v>
      </c>
      <c r="BL15" s="3">
        <v>236.55434054898478</v>
      </c>
      <c r="BM15" s="3">
        <v>9763.4456594510157</v>
      </c>
      <c r="BN15" s="5"/>
      <c r="BO15" s="3"/>
      <c r="BP15" s="3" t="s">
        <v>245</v>
      </c>
      <c r="BQ15" s="3"/>
      <c r="BR15" s="3"/>
      <c r="BS15" s="3"/>
      <c r="BT15" s="3"/>
      <c r="BU15" s="3"/>
      <c r="BV15" s="3" t="s">
        <v>141</v>
      </c>
      <c r="BW15" s="3"/>
      <c r="BX15" s="3"/>
      <c r="BY15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Z14"/>
  <sheetViews>
    <sheetView topLeftCell="AF1" workbookViewId="0">
      <selection activeCell="AN19" sqref="AN19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  <col min="78" max="78" width="14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t="inlineStr">
        <is>
          <t>pulso real</t>
        </is>
      </c>
    </row>
    <row r="2" spans="1:77">
      <c r="A2" s="3" t="s">
        <v>275</v>
      </c>
      <c r="B2" s="4">
        <v>46129.666666666664</v>
      </c>
      <c r="C2" s="5">
        <v>0</v>
      </c>
      <c r="D2" s="5" t="n">
        <v>21.0</v>
      </c>
      <c r="E2" s="5"/>
      <c r="F2" s="5">
        <v>12.01</v>
      </c>
      <c r="G2" s="5">
        <v>6.7000000000000171E-2</v>
      </c>
      <c r="H2" s="5">
        <v>75.75</v>
      </c>
      <c r="I2" s="5">
        <v>76.680000000000007</v>
      </c>
      <c r="J2" s="5">
        <v>98</v>
      </c>
      <c r="K2" s="5">
        <v>170</v>
      </c>
      <c r="L2" s="5">
        <v>237.4</v>
      </c>
      <c r="M2" s="5">
        <v>0.75</v>
      </c>
      <c r="N2" s="5">
        <v>0</v>
      </c>
      <c r="O2" s="3"/>
      <c r="P2" s="5">
        <v>0</v>
      </c>
      <c r="Q2" s="5">
        <v>1.23</v>
      </c>
      <c r="R2" s="3"/>
      <c r="S2" s="3"/>
      <c r="T2" s="3"/>
      <c r="U2" s="3"/>
      <c r="V2" s="3"/>
      <c r="W2" s="3"/>
      <c r="X2" s="3"/>
      <c r="Y2" s="3"/>
      <c r="Z2" s="3"/>
      <c r="AA2" s="3" t="s">
        <v>39</v>
      </c>
      <c r="AB2" s="3">
        <v>46129.666666666664</v>
      </c>
      <c r="AC2" s="3" t="s">
        <v>239</v>
      </c>
      <c r="AD2" s="3" t="s">
        <v>35</v>
      </c>
      <c r="AE2" s="5" t="inlineStr">
        <is>
          <t>Log SP: Temp_F3_lab009.csv</t>
        </is>
      </c>
      <c r="AF2" s="5" t="inlineStr">
        <is>
          <t>SP 21 C; registro de temperatura</t>
        </is>
      </c>
      <c r="AG2" s="3"/>
      <c r="AH2" s="3" t="s">
        <v>276</v>
      </c>
      <c r="AI2" s="3">
        <v>0</v>
      </c>
      <c r="AJ2" s="3" t="s">
        <v>124</v>
      </c>
      <c r="AK2" s="3"/>
      <c r="AL2" s="3">
        <v>3.07</v>
      </c>
      <c r="AM2" s="7">
        <v>1.65</v>
      </c>
      <c r="AN2" s="3">
        <v>12.04</v>
      </c>
      <c r="AO2" s="3">
        <v>15.94</v>
      </c>
      <c r="AP2" s="3">
        <v>152.43</v>
      </c>
      <c r="AQ2" s="3">
        <v>0.09</v>
      </c>
      <c r="AR2" s="3">
        <v>1.53</v>
      </c>
      <c r="AS2" s="3">
        <v>1.23</v>
      </c>
      <c r="AT2" s="5" t="s">
        <v>125</v>
      </c>
      <c r="AU2" s="3"/>
      <c r="AV2" s="3"/>
      <c r="AW2" s="3"/>
      <c r="AX2" s="3"/>
      <c r="AY2" s="3"/>
      <c r="AZ2" s="3"/>
      <c r="BA2" s="3">
        <v>5.63</v>
      </c>
      <c r="BB2" s="3">
        <v>5.6970000000000001</v>
      </c>
      <c r="BC2" s="3" t="s">
        <v>131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1.23</v>
      </c>
      <c r="BK2" s="3">
        <v>12.5</v>
      </c>
      <c r="BL2" s="3">
        <v>1141.0347271438698</v>
      </c>
      <c r="BM2" s="3">
        <v>8858.9652728561305</v>
      </c>
      <c r="BN2" s="5"/>
      <c r="BO2" s="3"/>
      <c r="BP2" s="3" t="s">
        <v>245</v>
      </c>
      <c r="BQ2" s="3"/>
      <c r="BR2" s="3"/>
      <c r="BS2" s="3"/>
      <c r="BT2" s="3"/>
      <c r="BU2" s="3"/>
      <c r="BV2" s="3" t="s">
        <v>141</v>
      </c>
      <c r="BW2" s="3"/>
      <c r="BX2" s="3"/>
      <c r="BY2" s="3"/>
    </row>
    <row r="3" spans="1:77">
      <c r="A3" s="3" t="s">
        <v>277</v>
      </c>
      <c r="B3" s="4">
        <v>46130.333333333336</v>
      </c>
      <c r="C3" s="5">
        <v>16</v>
      </c>
      <c r="D3" s="5" t="n">
        <v>21.0</v>
      </c>
      <c r="E3" s="5">
        <v>1062.3</v>
      </c>
      <c r="F3" s="5">
        <v>29.22</v>
      </c>
      <c r="G3" s="5"/>
      <c r="H3" s="5">
        <v>67.56</v>
      </c>
      <c r="I3" s="5">
        <v>72.099999999999994</v>
      </c>
      <c r="J3" s="5">
        <v>67</v>
      </c>
      <c r="K3" s="5">
        <v>122</v>
      </c>
      <c r="L3" s="5">
        <v>167.04</v>
      </c>
      <c r="M3" s="5">
        <v>1.84</v>
      </c>
      <c r="N3" s="5">
        <v>26</v>
      </c>
      <c r="O3" s="3"/>
      <c r="P3" s="5">
        <v>106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39</v>
      </c>
      <c r="AB3" s="3">
        <v>46130.333333333336</v>
      </c>
      <c r="AC3" s="3" t="s">
        <v>239</v>
      </c>
      <c r="AD3" s="3" t="s">
        <v>35</v>
      </c>
      <c r="AE3" s="5" t="inlineStr">
        <is>
          <t>Log SP: Temp_F3_lab009.csv</t>
        </is>
      </c>
      <c r="AF3" s="5" t="inlineStr">
        <is>
          <t>SP 21 C; registro de temperatura</t>
        </is>
      </c>
      <c r="AG3" s="3"/>
      <c r="AH3" s="3"/>
      <c r="AI3" s="3"/>
      <c r="AJ3" s="3"/>
      <c r="AK3" s="3">
        <v>15.8</v>
      </c>
      <c r="AL3" s="3">
        <v>2.97</v>
      </c>
      <c r="AM3" s="3">
        <v>0.8</v>
      </c>
      <c r="AN3" s="3">
        <v>29.53</v>
      </c>
      <c r="AO3" s="3">
        <v>32.380000000000003</v>
      </c>
      <c r="AP3" s="3">
        <v>139.66</v>
      </c>
      <c r="AQ3" s="3">
        <v>0.2</v>
      </c>
      <c r="AR3" s="3"/>
      <c r="AS3" s="3">
        <v>-0.3</v>
      </c>
      <c r="AT3" s="5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/>
      <c r="BO3" s="3"/>
      <c r="BP3" s="3" t="s">
        <v>245</v>
      </c>
      <c r="BQ3" s="3"/>
      <c r="BR3" s="3"/>
      <c r="BS3" s="3"/>
      <c r="BT3" s="3"/>
      <c r="BU3" s="3"/>
      <c r="BV3" s="3" t="s">
        <v>141</v>
      </c>
      <c r="BW3" s="3"/>
      <c r="BX3" s="3"/>
      <c r="BY3" s="3"/>
    </row>
    <row r="4" spans="1:77">
      <c r="A4" s="3" t="s">
        <v>278</v>
      </c>
      <c r="B4" s="4">
        <v>46130.666666666664</v>
      </c>
      <c r="C4" s="5">
        <v>24</v>
      </c>
      <c r="D4" s="5" t="n">
        <v>21.0</v>
      </c>
      <c r="E4" s="5">
        <v>1059.9000000000001</v>
      </c>
      <c r="F4" s="5">
        <v>27.76</v>
      </c>
      <c r="G4" s="5"/>
      <c r="H4" s="5">
        <v>66.45</v>
      </c>
      <c r="I4" s="5">
        <v>74.929999999999993</v>
      </c>
      <c r="J4" s="5">
        <v>57</v>
      </c>
      <c r="K4" s="5">
        <v>111</v>
      </c>
      <c r="L4" s="5">
        <v>148.01999999999998</v>
      </c>
      <c r="M4" s="5">
        <v>1.79</v>
      </c>
      <c r="N4" s="5">
        <v>32</v>
      </c>
      <c r="O4" s="3"/>
      <c r="P4" s="5">
        <v>96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39</v>
      </c>
      <c r="AB4" s="3">
        <v>46130.666666666664</v>
      </c>
      <c r="AC4" s="3" t="s">
        <v>239</v>
      </c>
      <c r="AD4" s="3" t="s">
        <v>35</v>
      </c>
      <c r="AE4" s="5" t="inlineStr">
        <is>
          <t>Log SP: Temp_F3_lab009.csv</t>
        </is>
      </c>
      <c r="AF4" s="5" t="inlineStr">
        <is>
          <t>SP 21 C; registro de temperatura</t>
        </is>
      </c>
      <c r="AG4" s="3"/>
      <c r="AH4" s="3"/>
      <c r="AI4" s="3"/>
      <c r="AJ4" s="3"/>
      <c r="AK4" s="3">
        <v>15.1</v>
      </c>
      <c r="AL4" s="3">
        <v>2.96</v>
      </c>
      <c r="AM4" s="3">
        <v>0.88</v>
      </c>
      <c r="AN4" s="3">
        <v>27.84</v>
      </c>
      <c r="AO4" s="3">
        <v>31.86</v>
      </c>
      <c r="AP4" s="3">
        <v>141.38</v>
      </c>
      <c r="AQ4" s="3">
        <v>0.17</v>
      </c>
      <c r="AR4" s="3"/>
      <c r="AS4" s="3">
        <v>-0.3</v>
      </c>
      <c r="AT4" s="5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/>
      <c r="BO4" s="3"/>
      <c r="BP4" s="3" t="s">
        <v>245</v>
      </c>
      <c r="BQ4" s="3"/>
      <c r="BR4" s="3"/>
      <c r="BS4" s="3"/>
      <c r="BT4" s="3"/>
      <c r="BU4" s="3"/>
      <c r="BV4" s="3" t="s">
        <v>141</v>
      </c>
      <c r="BW4" s="3"/>
      <c r="BX4" s="3"/>
      <c r="BY4" s="3"/>
    </row>
    <row r="5" spans="1:77">
      <c r="A5" s="3" t="s">
        <v>279</v>
      </c>
      <c r="B5" s="4">
        <v>46131.333333333336</v>
      </c>
      <c r="C5" s="5">
        <v>40</v>
      </c>
      <c r="D5" s="5" t="n">
        <v>21.0</v>
      </c>
      <c r="E5" s="5">
        <v>1041.2</v>
      </c>
      <c r="F5" s="5">
        <v>52.27</v>
      </c>
      <c r="G5" s="5"/>
      <c r="H5" s="5">
        <v>43.64</v>
      </c>
      <c r="I5" s="5">
        <v>55.64</v>
      </c>
      <c r="J5" s="5">
        <v>21</v>
      </c>
      <c r="K5" s="5">
        <v>0</v>
      </c>
      <c r="L5" s="5">
        <v>21</v>
      </c>
      <c r="M5" s="5">
        <v>4.13</v>
      </c>
      <c r="N5" s="5">
        <v>40</v>
      </c>
      <c r="O5" s="3"/>
      <c r="P5" s="5">
        <v>108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39</v>
      </c>
      <c r="AB5" s="3">
        <v>46131.333333333336</v>
      </c>
      <c r="AC5" s="3" t="s">
        <v>239</v>
      </c>
      <c r="AD5" s="3" t="s">
        <v>35</v>
      </c>
      <c r="AE5" s="5" t="inlineStr">
        <is>
          <t>Log SP: Temp_F3_lab009.csv</t>
        </is>
      </c>
      <c r="AF5" s="5" t="inlineStr">
        <is>
          <t>SP 21 C; registro de temperatura</t>
        </is>
      </c>
      <c r="AG5" s="3"/>
      <c r="AH5" s="3"/>
      <c r="AI5" s="3"/>
      <c r="AJ5" s="3"/>
      <c r="AK5" s="3">
        <v>10.7</v>
      </c>
      <c r="AL5" s="3">
        <v>2.8</v>
      </c>
      <c r="AM5" s="3">
        <v>0.6</v>
      </c>
      <c r="AN5" s="3">
        <v>52.42</v>
      </c>
      <c r="AO5" s="3">
        <v>19.34</v>
      </c>
      <c r="AP5" s="3">
        <v>99.28</v>
      </c>
      <c r="AQ5" s="3">
        <v>0.25</v>
      </c>
      <c r="AR5" s="3"/>
      <c r="AS5" s="3">
        <v>-0.3</v>
      </c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/>
      <c r="BO5" s="3"/>
      <c r="BP5" s="3" t="s">
        <v>245</v>
      </c>
      <c r="BQ5" s="3"/>
      <c r="BR5" s="3"/>
      <c r="BS5" s="3"/>
      <c r="BT5" s="3"/>
      <c r="BU5" s="3"/>
      <c r="BV5" s="3" t="s">
        <v>141</v>
      </c>
      <c r="BW5" s="3"/>
      <c r="BX5" s="3"/>
      <c r="BY5" s="3"/>
    </row>
    <row r="6" spans="1:77">
      <c r="A6" s="3" t="s">
        <v>582</v>
      </c>
      <c r="B6" s="4">
        <f>B5+1/24</f>
        <v>46131.375</v>
      </c>
      <c r="C6" s="5">
        <v>41</v>
      </c>
      <c r="D6" s="5" t="n">
        <v>21.0</v>
      </c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5"/>
      <c r="Q6" s="5"/>
      <c r="R6" s="3">
        <v>80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5" t="inlineStr">
        <is>
          <t>Log SP: Temp_F3_lab009.csv</t>
        </is>
      </c>
      <c r="AF6" s="5" t="inlineStr">
        <is>
          <t>SP 21 C; registro de temperatura</t>
        </is>
      </c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5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5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t="n">
        <v>41.84615384615385</v>
      </c>
    </row>
    <row r="7" spans="1:77">
      <c r="A7" s="3" t="s">
        <v>280</v>
      </c>
      <c r="B7" s="4">
        <v>46131.666666666664</v>
      </c>
      <c r="C7" s="5">
        <v>48</v>
      </c>
      <c r="D7" s="5" t="n">
        <v>21.0</v>
      </c>
      <c r="E7" s="5">
        <v>1036</v>
      </c>
      <c r="F7" s="5">
        <v>57.3</v>
      </c>
      <c r="G7" s="5">
        <v>8.1999999999999851E-2</v>
      </c>
      <c r="H7" s="5">
        <v>31.9</v>
      </c>
      <c r="I7" s="5">
        <v>42.530000000000008</v>
      </c>
      <c r="J7" s="5">
        <v>33</v>
      </c>
      <c r="K7" s="5">
        <v>46</v>
      </c>
      <c r="L7" s="5">
        <v>70.72</v>
      </c>
      <c r="M7" s="5">
        <v>4.07</v>
      </c>
      <c r="N7" s="5">
        <v>32</v>
      </c>
      <c r="O7" s="3"/>
      <c r="P7" s="5">
        <v>123</v>
      </c>
      <c r="Q7" s="5">
        <v>4.9400000000000004</v>
      </c>
      <c r="R7" s="3"/>
      <c r="S7" s="3"/>
      <c r="T7" s="3"/>
      <c r="U7" s="3"/>
      <c r="V7" s="3"/>
      <c r="W7" s="3"/>
      <c r="X7" s="3"/>
      <c r="Y7" s="3"/>
      <c r="Z7" s="3"/>
      <c r="AA7" s="3" t="s">
        <v>39</v>
      </c>
      <c r="AB7" s="3">
        <v>46131.666666666664</v>
      </c>
      <c r="AC7" s="3" t="s">
        <v>239</v>
      </c>
      <c r="AD7" s="3" t="s">
        <v>35</v>
      </c>
      <c r="AE7" s="5" t="inlineStr">
        <is>
          <t>Log SP: Temp_F3_lab009.csv</t>
        </is>
      </c>
      <c r="AF7" s="5" t="inlineStr">
        <is>
          <t>SP 21 C; registro de temperatura</t>
        </is>
      </c>
      <c r="AG7" s="3"/>
      <c r="AH7" s="3"/>
      <c r="AI7" s="3"/>
      <c r="AJ7" s="3"/>
      <c r="AK7" s="3">
        <v>9.6</v>
      </c>
      <c r="AL7" s="3">
        <v>2.84</v>
      </c>
      <c r="AM7" s="3">
        <v>0.3</v>
      </c>
      <c r="AN7" s="3">
        <v>57.3</v>
      </c>
      <c r="AO7" s="3">
        <v>23.46</v>
      </c>
      <c r="AP7" s="3">
        <v>74.430000000000007</v>
      </c>
      <c r="AQ7" s="3">
        <v>0.23</v>
      </c>
      <c r="AR7" s="3">
        <v>5.24</v>
      </c>
      <c r="AS7" s="3">
        <v>4.9400000000000004</v>
      </c>
      <c r="AT7" s="5" t="s">
        <v>125</v>
      </c>
      <c r="AU7" s="3"/>
      <c r="AV7" s="3"/>
      <c r="AW7" s="3"/>
      <c r="AX7" s="3"/>
      <c r="AY7" s="3"/>
      <c r="AZ7" s="3"/>
      <c r="BA7" s="3">
        <v>5.6230000000000002</v>
      </c>
      <c r="BB7" s="3">
        <v>5.7050000000000001</v>
      </c>
      <c r="BC7" s="3" t="s">
        <v>250</v>
      </c>
      <c r="BD7" s="3" t="s">
        <v>243</v>
      </c>
      <c r="BE7" s="3" t="s">
        <v>244</v>
      </c>
      <c r="BF7" s="3"/>
      <c r="BG7" s="3"/>
      <c r="BH7" s="3">
        <v>10</v>
      </c>
      <c r="BI7" s="3">
        <v>0</v>
      </c>
      <c r="BJ7" s="3">
        <v>4.9400000000000004</v>
      </c>
      <c r="BK7" s="3">
        <v>12.5</v>
      </c>
      <c r="BL7" s="3">
        <v>795.28718703976426</v>
      </c>
      <c r="BM7" s="3">
        <v>9204.7128129602352</v>
      </c>
      <c r="BN7" s="5"/>
      <c r="BO7" s="3"/>
      <c r="BP7" s="3" t="s">
        <v>245</v>
      </c>
      <c r="BQ7" s="3"/>
      <c r="BR7" s="3"/>
      <c r="BS7" s="3"/>
      <c r="BT7" s="3"/>
      <c r="BU7" s="3"/>
      <c r="BV7" s="3" t="s">
        <v>141</v>
      </c>
      <c r="BW7" s="3"/>
      <c r="BX7" s="3"/>
      <c r="BY7" s="3"/>
    </row>
    <row r="8" spans="1:77">
      <c r="A8" s="3" t="s">
        <v>281</v>
      </c>
      <c r="B8" s="4">
        <v>46132.333333333336</v>
      </c>
      <c r="C8" s="5">
        <v>64</v>
      </c>
      <c r="D8" s="5" t="n">
        <v>21.0</v>
      </c>
      <c r="E8" s="5">
        <v>1018.5</v>
      </c>
      <c r="F8" s="5">
        <v>64.290000000000006</v>
      </c>
      <c r="G8" s="5">
        <v>1.1599999999999611E-2</v>
      </c>
      <c r="H8" s="5">
        <v>12.94</v>
      </c>
      <c r="I8" s="5">
        <v>32.97</v>
      </c>
      <c r="J8" s="5">
        <v>19</v>
      </c>
      <c r="K8" s="5">
        <v>0</v>
      </c>
      <c r="L8" s="5">
        <v>19</v>
      </c>
      <c r="M8" s="5">
        <v>5</v>
      </c>
      <c r="N8" s="5">
        <v>39</v>
      </c>
      <c r="O8" s="3"/>
      <c r="P8" s="5">
        <v>99</v>
      </c>
      <c r="Q8" s="5">
        <v>7.28</v>
      </c>
      <c r="R8" s="3"/>
      <c r="S8" s="3"/>
      <c r="T8" s="3"/>
      <c r="U8" s="3"/>
      <c r="V8" s="3"/>
      <c r="W8" s="3"/>
      <c r="X8" s="3"/>
      <c r="Y8" s="3"/>
      <c r="Z8" s="3"/>
      <c r="AA8" s="3" t="s">
        <v>39</v>
      </c>
      <c r="AB8" s="3">
        <v>46132.333333333336</v>
      </c>
      <c r="AC8" s="3" t="s">
        <v>239</v>
      </c>
      <c r="AD8" s="3" t="s">
        <v>35</v>
      </c>
      <c r="AE8" s="5" t="inlineStr">
        <is>
          <t>Log SP: Temp_F3_lab009.csv</t>
        </is>
      </c>
      <c r="AF8" s="5" t="inlineStr">
        <is>
          <t>SP 21 C; registro de temperatura</t>
        </is>
      </c>
      <c r="AG8" s="3"/>
      <c r="AH8" s="3"/>
      <c r="AI8" s="3"/>
      <c r="AJ8" s="3"/>
      <c r="AK8" s="3">
        <v>5.2</v>
      </c>
      <c r="AL8" s="3">
        <v>2.81</v>
      </c>
      <c r="AM8" s="3">
        <v>0.34</v>
      </c>
      <c r="AN8" s="3">
        <v>65.06</v>
      </c>
      <c r="AO8" s="3">
        <v>22.43</v>
      </c>
      <c r="AP8" s="3">
        <v>45.91</v>
      </c>
      <c r="AQ8" s="3">
        <v>0.41</v>
      </c>
      <c r="AR8" s="3">
        <v>7.58</v>
      </c>
      <c r="AS8" s="3">
        <v>7.28</v>
      </c>
      <c r="AT8" s="5" t="s">
        <v>125</v>
      </c>
      <c r="AU8" s="3"/>
      <c r="AV8" s="3"/>
      <c r="AW8" s="3"/>
      <c r="AX8" s="3"/>
      <c r="AY8" s="3"/>
      <c r="AZ8" s="3"/>
      <c r="BA8" s="3">
        <v>5.5484</v>
      </c>
      <c r="BB8" s="3">
        <v>5.56</v>
      </c>
      <c r="BC8" s="3" t="s">
        <v>250</v>
      </c>
      <c r="BD8" s="3" t="s">
        <v>243</v>
      </c>
      <c r="BE8" s="3" t="s">
        <v>244</v>
      </c>
      <c r="BF8" s="3"/>
      <c r="BG8" s="3"/>
      <c r="BH8" s="3">
        <v>10</v>
      </c>
      <c r="BI8" s="3">
        <v>0</v>
      </c>
      <c r="BJ8" s="3">
        <v>7.28</v>
      </c>
      <c r="BK8" s="3">
        <v>12.5</v>
      </c>
      <c r="BL8" s="3">
        <v>562.98533218291641</v>
      </c>
      <c r="BM8" s="3">
        <v>9437.014667817084</v>
      </c>
      <c r="BN8" s="5"/>
      <c r="BO8" s="3"/>
      <c r="BP8" s="3" t="s">
        <v>245</v>
      </c>
      <c r="BQ8" s="3"/>
      <c r="BR8" s="3"/>
      <c r="BS8" s="3"/>
      <c r="BT8" s="3"/>
      <c r="BU8" s="3"/>
      <c r="BV8" s="3" t="s">
        <v>141</v>
      </c>
      <c r="BW8" s="3"/>
      <c r="BX8" s="3"/>
      <c r="BY8" s="3"/>
    </row>
    <row r="9" spans="1:77">
      <c r="A9" s="3" t="s">
        <v>282</v>
      </c>
      <c r="B9" s="4">
        <v>46132.666666666664</v>
      </c>
      <c r="C9" s="5">
        <v>72</v>
      </c>
      <c r="D9" s="5">
        <v>18</v>
      </c>
      <c r="E9" s="5">
        <v>1012.2</v>
      </c>
      <c r="F9" s="5">
        <v>60.6</v>
      </c>
      <c r="G9" s="5"/>
      <c r="H9" s="5">
        <v>9.42</v>
      </c>
      <c r="I9" s="5">
        <v>34.549999999999997</v>
      </c>
      <c r="J9" s="5">
        <v>17</v>
      </c>
      <c r="K9" s="5">
        <v>0</v>
      </c>
      <c r="L9" s="5">
        <v>17</v>
      </c>
      <c r="M9" s="5">
        <v>4.38</v>
      </c>
      <c r="N9" s="5">
        <v>31</v>
      </c>
      <c r="O9" s="3"/>
      <c r="P9" s="5">
        <v>103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39</v>
      </c>
      <c r="AB9" s="3">
        <v>46132.666666666664</v>
      </c>
      <c r="AC9" s="3" t="s">
        <v>239</v>
      </c>
      <c r="AD9" s="3" t="s">
        <v>35</v>
      </c>
      <c r="AE9" s="5" t="inlineStr">
        <is>
          <t>Log SP: Temp_F3_lab009.csv</t>
        </is>
      </c>
      <c r="AF9" s="5" t="inlineStr">
        <is>
          <t>SP 18 C; registro de temperatura</t>
        </is>
      </c>
      <c r="AG9" s="3"/>
      <c r="AH9" s="3"/>
      <c r="AI9" s="3"/>
      <c r="AJ9" s="3"/>
      <c r="AK9" s="3">
        <v>3.7</v>
      </c>
      <c r="AL9" s="3">
        <v>2.81</v>
      </c>
      <c r="AM9" s="3">
        <v>0.56999999999999995</v>
      </c>
      <c r="AN9" s="3">
        <v>60.68</v>
      </c>
      <c r="AO9" s="3">
        <v>22.66</v>
      </c>
      <c r="AP9" s="3">
        <v>43.97</v>
      </c>
      <c r="AQ9" s="3">
        <v>0.36</v>
      </c>
      <c r="AR9" s="3"/>
      <c r="AS9" s="3">
        <v>-0.3</v>
      </c>
      <c r="AT9" s="5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/>
      <c r="BO9" s="3"/>
      <c r="BP9" s="3" t="s">
        <v>245</v>
      </c>
      <c r="BQ9" s="3"/>
      <c r="BR9" s="3"/>
      <c r="BS9" s="3"/>
      <c r="BT9" s="3"/>
      <c r="BU9" s="3"/>
      <c r="BV9" s="3" t="s">
        <v>141</v>
      </c>
      <c r="BW9" s="3"/>
      <c r="BX9" s="3"/>
      <c r="BY9" s="3"/>
    </row>
    <row r="10" spans="1:77">
      <c r="A10" s="3" t="s">
        <v>283</v>
      </c>
      <c r="B10" s="4">
        <v>46133.333333333336</v>
      </c>
      <c r="C10" s="5">
        <v>88</v>
      </c>
      <c r="D10" s="5">
        <v>18</v>
      </c>
      <c r="E10" s="5">
        <v>1006.2</v>
      </c>
      <c r="F10" s="5">
        <v>59.06</v>
      </c>
      <c r="G10" s="5"/>
      <c r="H10" s="5">
        <v>4.38</v>
      </c>
      <c r="I10" s="5">
        <v>14.32</v>
      </c>
      <c r="J10" s="5">
        <v>17</v>
      </c>
      <c r="K10" s="5">
        <v>0</v>
      </c>
      <c r="L10" s="5">
        <v>17</v>
      </c>
      <c r="M10" s="5">
        <v>5.59</v>
      </c>
      <c r="N10" s="5">
        <v>31</v>
      </c>
      <c r="O10" s="3"/>
      <c r="P10" s="5">
        <v>82</v>
      </c>
      <c r="Q10" s="5"/>
      <c r="R10" s="3"/>
      <c r="S10" s="3"/>
      <c r="T10" s="3"/>
      <c r="U10" s="3"/>
      <c r="V10" s="3"/>
      <c r="W10" s="3"/>
      <c r="X10" s="3"/>
      <c r="Y10" s="3"/>
      <c r="Z10" s="3"/>
      <c r="AA10" s="3" t="s">
        <v>39</v>
      </c>
      <c r="AB10" s="3">
        <v>46133.333333333336</v>
      </c>
      <c r="AC10" s="3" t="s">
        <v>239</v>
      </c>
      <c r="AD10" s="3" t="s">
        <v>35</v>
      </c>
      <c r="AE10" s="5" t="inlineStr">
        <is>
          <t>Log SP: Temp_F3_lab009.csv</t>
        </is>
      </c>
      <c r="AF10" s="5" t="inlineStr">
        <is>
          <t>SP 18 C; registro de temperatura</t>
        </is>
      </c>
      <c r="AG10" s="3"/>
      <c r="AH10" s="3"/>
      <c r="AI10" s="3"/>
      <c r="AJ10" s="3"/>
      <c r="AK10" s="3">
        <v>2</v>
      </c>
      <c r="AL10" s="3">
        <v>2.82</v>
      </c>
      <c r="AM10" s="3">
        <v>0.43</v>
      </c>
      <c r="AN10" s="3">
        <v>59.52</v>
      </c>
      <c r="AO10" s="3">
        <v>19.350000000000001</v>
      </c>
      <c r="AP10" s="3">
        <v>18.7</v>
      </c>
      <c r="AQ10" s="3">
        <v>0.36</v>
      </c>
      <c r="AR10" s="3"/>
      <c r="AS10" s="3">
        <v>-0.3</v>
      </c>
      <c r="AT10" s="5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"/>
      <c r="BO10" s="3"/>
      <c r="BP10" s="3" t="s">
        <v>245</v>
      </c>
      <c r="BQ10" s="3"/>
      <c r="BR10" s="3"/>
      <c r="BS10" s="3"/>
      <c r="BT10" s="3"/>
      <c r="BU10" s="3"/>
      <c r="BV10" s="3" t="s">
        <v>141</v>
      </c>
      <c r="BW10" s="3"/>
      <c r="BX10" s="3"/>
      <c r="BY10" s="3"/>
    </row>
    <row r="11" spans="1:77">
      <c r="A11" s="3" t="s">
        <v>284</v>
      </c>
      <c r="B11" s="4">
        <v>46133.666666666664</v>
      </c>
      <c r="C11" s="5">
        <v>96</v>
      </c>
      <c r="D11" s="5" t="n">
        <v>18.0</v>
      </c>
      <c r="E11" s="5">
        <v>1002.8</v>
      </c>
      <c r="F11" s="5">
        <v>59.75</v>
      </c>
      <c r="G11" s="5"/>
      <c r="H11" s="5">
        <v>2.69</v>
      </c>
      <c r="I11" s="5">
        <v>13.700000000000001</v>
      </c>
      <c r="J11" s="5">
        <v>19</v>
      </c>
      <c r="K11" s="5">
        <v>0</v>
      </c>
      <c r="L11" s="5">
        <v>19</v>
      </c>
      <c r="M11" s="5">
        <v>6.58</v>
      </c>
      <c r="N11" s="5">
        <v>28</v>
      </c>
      <c r="O11" s="3"/>
      <c r="P11" s="5">
        <v>90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39</v>
      </c>
      <c r="AB11" s="3">
        <v>46133.666666666664</v>
      </c>
      <c r="AC11" s="3" t="s">
        <v>239</v>
      </c>
      <c r="AD11" s="3" t="s">
        <v>35</v>
      </c>
      <c r="AE11" s="5" t="inlineStr">
        <is>
          <t>Log SP: Temp_F3_lab009.csv</t>
        </is>
      </c>
      <c r="AF11" s="5" t="inlineStr">
        <is>
          <t>SP 18 C; registro de temperatura</t>
        </is>
      </c>
      <c r="AG11" s="3"/>
      <c r="AH11" s="3"/>
      <c r="AI11" s="3"/>
      <c r="AJ11" s="3"/>
      <c r="AK11" s="3">
        <v>1.2</v>
      </c>
      <c r="AL11" s="3">
        <v>2.83</v>
      </c>
      <c r="AM11" s="3">
        <v>0.44</v>
      </c>
      <c r="AN11" s="3">
        <v>60.83</v>
      </c>
      <c r="AO11" s="3">
        <v>17.05</v>
      </c>
      <c r="AP11" s="3">
        <v>16.39</v>
      </c>
      <c r="AQ11" s="3">
        <v>0.35</v>
      </c>
      <c r="AR11" s="3"/>
      <c r="AS11" s="3">
        <v>-0.3</v>
      </c>
      <c r="AT11" s="5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/>
      <c r="BO11" s="3"/>
      <c r="BP11" s="3" t="s">
        <v>245</v>
      </c>
      <c r="BQ11" s="3"/>
      <c r="BR11" s="3"/>
      <c r="BS11" s="3"/>
      <c r="BT11" s="3"/>
      <c r="BU11" s="3"/>
      <c r="BV11" s="3" t="s">
        <v>141</v>
      </c>
      <c r="BW11" s="3"/>
      <c r="BX11" s="3"/>
      <c r="BY11" s="3"/>
    </row>
    <row r="12" spans="1:77">
      <c r="A12" s="3" t="s">
        <v>286</v>
      </c>
      <c r="B12" s="4">
        <v>46134.666666666664</v>
      </c>
      <c r="C12" s="5">
        <v>120</v>
      </c>
      <c r="D12" s="5" t="n">
        <v>18.0</v>
      </c>
      <c r="E12" s="5">
        <v>997.5</v>
      </c>
      <c r="F12" s="5">
        <v>62.44</v>
      </c>
      <c r="G12" s="5"/>
      <c r="H12" s="5">
        <v>0.08</v>
      </c>
      <c r="I12" s="5">
        <v>3.32</v>
      </c>
      <c r="J12" s="5">
        <v>5</v>
      </c>
      <c r="K12" s="5">
        <v>0</v>
      </c>
      <c r="L12" s="5">
        <v>5</v>
      </c>
      <c r="M12" s="5">
        <v>5.95</v>
      </c>
      <c r="N12" s="5">
        <v>16</v>
      </c>
      <c r="O12" s="3"/>
      <c r="P12" s="5">
        <v>80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39</v>
      </c>
      <c r="AB12" s="3">
        <v>46134.666666666664</v>
      </c>
      <c r="AC12" s="3" t="s">
        <v>239</v>
      </c>
      <c r="AD12" s="3" t="s">
        <v>35</v>
      </c>
      <c r="AE12" s="5" t="inlineStr">
        <is>
          <t>Log SP: Temp_F3_lab009.csv</t>
        </is>
      </c>
      <c r="AF12" s="5" t="inlineStr">
        <is>
          <t>SP 18 C; registro de temperatura</t>
        </is>
      </c>
      <c r="AG12" s="3"/>
      <c r="AH12" s="3"/>
      <c r="AI12" s="3"/>
      <c r="AJ12" s="3"/>
      <c r="AK12" s="3">
        <v>-0.2</v>
      </c>
      <c r="AL12" s="3">
        <v>2.86</v>
      </c>
      <c r="AM12" s="3">
        <v>0.65</v>
      </c>
      <c r="AN12" s="3">
        <v>62.83</v>
      </c>
      <c r="AO12" s="3">
        <v>24.69</v>
      </c>
      <c r="AP12" s="3">
        <v>3.4</v>
      </c>
      <c r="AQ12" s="3">
        <v>0.35</v>
      </c>
      <c r="AR12" s="3"/>
      <c r="AS12" s="3">
        <v>-0.3</v>
      </c>
      <c r="AT12" s="5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/>
      <c r="BO12" s="3"/>
      <c r="BP12" s="3" t="s">
        <v>245</v>
      </c>
      <c r="BQ12" s="3"/>
      <c r="BR12" s="3"/>
      <c r="BS12" s="3"/>
      <c r="BT12" s="3"/>
      <c r="BU12" s="3"/>
      <c r="BV12" s="3" t="s">
        <v>141</v>
      </c>
      <c r="BW12" s="3"/>
      <c r="BX12" s="3"/>
      <c r="BY12" s="3"/>
    </row>
    <row r="13" spans="1:77">
      <c r="A13" s="3" t="s">
        <v>287</v>
      </c>
      <c r="B13" s="4">
        <v>46135.666666666664</v>
      </c>
      <c r="C13" s="5">
        <v>144</v>
      </c>
      <c r="D13" s="5" t="n">
        <v>18.0</v>
      </c>
      <c r="E13" s="5">
        <v>995.8</v>
      </c>
      <c r="F13" s="5">
        <v>57.3</v>
      </c>
      <c r="G13" s="5">
        <v>0.12999999999999989</v>
      </c>
      <c r="H13" s="5">
        <v>0</v>
      </c>
      <c r="I13" s="5">
        <v>0.2</v>
      </c>
      <c r="J13" s="5">
        <v>25</v>
      </c>
      <c r="K13" s="5">
        <v>0</v>
      </c>
      <c r="L13" s="5">
        <v>25</v>
      </c>
      <c r="M13" s="5">
        <v>5.63</v>
      </c>
      <c r="N13" s="5">
        <v>7</v>
      </c>
      <c r="O13" s="3"/>
      <c r="P13" s="5">
        <v>76</v>
      </c>
      <c r="Q13" s="5">
        <v>9.93</v>
      </c>
      <c r="R13" s="3"/>
      <c r="S13" s="3"/>
      <c r="T13" s="3"/>
      <c r="U13" s="3"/>
      <c r="V13" s="3"/>
      <c r="W13" s="3"/>
      <c r="X13" s="3"/>
      <c r="Y13" s="3"/>
      <c r="Z13" s="3"/>
      <c r="AA13" s="3" t="s">
        <v>39</v>
      </c>
      <c r="AB13" s="3">
        <v>46135.666666666664</v>
      </c>
      <c r="AC13" s="3" t="s">
        <v>239</v>
      </c>
      <c r="AD13" s="3" t="s">
        <v>35</v>
      </c>
      <c r="AE13" s="5" t="inlineStr">
        <is>
          <t>Log SP: Temp_F3_lab009.csv</t>
        </is>
      </c>
      <c r="AF13" s="5" t="inlineStr">
        <is>
          <t>SP 18 C; registro de temperatura</t>
        </is>
      </c>
      <c r="AG13" s="3"/>
      <c r="AH13" s="3"/>
      <c r="AI13" s="3"/>
      <c r="AJ13" s="3"/>
      <c r="AK13" s="3">
        <v>-0.5</v>
      </c>
      <c r="AL13" s="3">
        <v>2.86</v>
      </c>
      <c r="AM13" s="3"/>
      <c r="AN13" s="3">
        <v>58.99</v>
      </c>
      <c r="AO13" s="3">
        <v>19.010000000000002</v>
      </c>
      <c r="AP13" s="3">
        <v>0.2</v>
      </c>
      <c r="AQ13" s="3">
        <v>0.3</v>
      </c>
      <c r="AR13" s="3">
        <v>10.23</v>
      </c>
      <c r="AS13" s="3">
        <v>9.93</v>
      </c>
      <c r="AT13" s="5" t="s">
        <v>125</v>
      </c>
      <c r="AU13" s="3"/>
      <c r="AV13" s="3"/>
      <c r="AW13" s="3"/>
      <c r="AX13" s="3"/>
      <c r="AY13" s="3"/>
      <c r="AZ13" s="3"/>
      <c r="BA13" s="3">
        <v>5.5549999999999997</v>
      </c>
      <c r="BB13" s="3">
        <v>5.6849999999999996</v>
      </c>
      <c r="BC13" s="3" t="s">
        <v>250</v>
      </c>
      <c r="BD13" s="3" t="s">
        <v>243</v>
      </c>
      <c r="BE13" s="3" t="s">
        <v>244</v>
      </c>
      <c r="BF13" s="3"/>
      <c r="BG13" s="3"/>
      <c r="BH13" s="3">
        <v>10</v>
      </c>
      <c r="BI13" s="3">
        <v>0</v>
      </c>
      <c r="BJ13" s="3">
        <v>9.93</v>
      </c>
      <c r="BK13" s="3">
        <v>12.5</v>
      </c>
      <c r="BL13" s="3">
        <v>285.33362939935614</v>
      </c>
      <c r="BM13" s="3">
        <v>9714.6663706006439</v>
      </c>
      <c r="BN13" s="5"/>
      <c r="BO13" s="3"/>
      <c r="BP13" s="3" t="s">
        <v>245</v>
      </c>
      <c r="BQ13" s="3"/>
      <c r="BR13" s="3"/>
      <c r="BS13" s="3"/>
      <c r="BT13" s="3"/>
      <c r="BU13" s="3"/>
      <c r="BV13" s="3" t="s">
        <v>141</v>
      </c>
      <c r="BW13" s="3"/>
      <c r="BX13" s="3"/>
      <c r="BY13" s="3"/>
    </row>
    <row r="14" spans="1:77">
      <c r="A14" s="3" t="s">
        <v>288</v>
      </c>
      <c r="B14" s="4">
        <v>46136.333333333336</v>
      </c>
      <c r="C14" s="5">
        <v>160</v>
      </c>
      <c r="D14" s="5" t="n">
        <v>18.0</v>
      </c>
      <c r="E14" s="5">
        <v>995.8</v>
      </c>
      <c r="F14" s="5"/>
      <c r="G14" s="5">
        <v>0.10789999999999988</v>
      </c>
      <c r="H14" s="5">
        <v>0</v>
      </c>
      <c r="I14" s="5">
        <v>0.02</v>
      </c>
      <c r="J14" s="5">
        <v>0</v>
      </c>
      <c r="K14" s="5">
        <v>0</v>
      </c>
      <c r="L14" s="5">
        <v>0</v>
      </c>
      <c r="M14" s="5">
        <v>5.81</v>
      </c>
      <c r="N14" s="5">
        <v>5</v>
      </c>
      <c r="O14" s="3"/>
      <c r="P14" s="5">
        <v>79</v>
      </c>
      <c r="Q14" s="5">
        <v>10.25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39</v>
      </c>
      <c r="AB14" s="3">
        <v>46136.333333333336</v>
      </c>
      <c r="AC14" s="3" t="s">
        <v>239</v>
      </c>
      <c r="AD14" s="3" t="s">
        <v>35</v>
      </c>
      <c r="AE14" s="5" t="inlineStr">
        <is>
          <t>Log SP: Temp_F3_lab009.csv</t>
        </is>
      </c>
      <c r="AF14" s="5" t="inlineStr">
        <is>
          <t>SP 18 C; registro de temperatura</t>
        </is>
      </c>
      <c r="AG14" s="3"/>
      <c r="AH14" s="3"/>
      <c r="AI14" s="3"/>
      <c r="AJ14" s="3"/>
      <c r="AK14" s="3">
        <v>-0.6</v>
      </c>
      <c r="AL14" s="3">
        <v>2.86</v>
      </c>
      <c r="AM14" s="3"/>
      <c r="AN14" s="3"/>
      <c r="AO14" s="3"/>
      <c r="AP14" s="3">
        <v>0.02</v>
      </c>
      <c r="AQ14" s="3">
        <v>0.34</v>
      </c>
      <c r="AR14" s="3">
        <v>10.55</v>
      </c>
      <c r="AS14" s="3">
        <v>10.25</v>
      </c>
      <c r="AT14" s="5" t="s">
        <v>125</v>
      </c>
      <c r="AU14" s="3"/>
      <c r="AV14" s="3"/>
      <c r="AW14" s="3"/>
      <c r="AX14" s="3"/>
      <c r="AY14" s="3"/>
      <c r="AZ14" s="3"/>
      <c r="BA14" s="3">
        <v>5.5381</v>
      </c>
      <c r="BB14" s="3">
        <v>5.6459999999999999</v>
      </c>
      <c r="BC14" s="3" t="s">
        <v>131</v>
      </c>
      <c r="BD14" s="3" t="s">
        <v>243</v>
      </c>
      <c r="BE14" s="3"/>
      <c r="BF14" s="3"/>
      <c r="BG14" s="3"/>
      <c r="BH14" s="3">
        <v>10</v>
      </c>
      <c r="BI14" s="3">
        <v>0</v>
      </c>
      <c r="BJ14" s="3">
        <v>10.25</v>
      </c>
      <c r="BK14" s="3">
        <v>12.5</v>
      </c>
      <c r="BL14" s="3">
        <v>250.69637883008355</v>
      </c>
      <c r="BM14" s="3">
        <v>9749.3036211699164</v>
      </c>
      <c r="BN14" s="5"/>
      <c r="BO14" s="3"/>
      <c r="BP14" s="3" t="s">
        <v>245</v>
      </c>
      <c r="BQ14" s="3"/>
      <c r="BR14" s="3"/>
      <c r="BS14" s="3"/>
      <c r="BT14" s="3"/>
      <c r="BU14" s="3"/>
      <c r="BV14" s="3" t="s">
        <v>141</v>
      </c>
      <c r="BW14" s="3"/>
      <c r="BX14" s="3"/>
      <c r="BY14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Y14"/>
  <sheetViews>
    <sheetView topLeftCell="AF1" workbookViewId="0">
      <selection activeCell="AM2" sqref="AM2:AM11"/>
    </sheetView>
  </sheetViews>
  <sheetFormatPr baseColWidth="10" defaultColWidth="9" defaultRowHeight="14.25"/>
  <cols>
    <col min="1" max="1" width="18.5" customWidth="1"/>
    <col min="2" max="2" width="18.125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289</v>
      </c>
      <c r="B2" s="4">
        <v>46154.625</v>
      </c>
      <c r="C2" s="5">
        <v>0</v>
      </c>
      <c r="D2" s="5">
        <v>15</v>
      </c>
      <c r="E2" s="5">
        <v>1067.4000000000001</v>
      </c>
      <c r="F2" s="5">
        <v>32.03</v>
      </c>
      <c r="G2" s="5"/>
      <c r="H2" s="5">
        <v>78.489999999999995</v>
      </c>
      <c r="I2" s="5">
        <v>77.05</v>
      </c>
      <c r="J2" s="5">
        <v>115</v>
      </c>
      <c r="K2" s="5">
        <v>135</v>
      </c>
      <c r="L2" s="5">
        <v>225.7</v>
      </c>
      <c r="M2" s="5">
        <v>1.25</v>
      </c>
      <c r="N2" s="5">
        <v>0</v>
      </c>
      <c r="O2" s="3">
        <v>1.18</v>
      </c>
      <c r="P2" s="5"/>
      <c r="Q2" s="5">
        <v>1.18</v>
      </c>
      <c r="R2" s="3"/>
      <c r="S2" s="3"/>
      <c r="T2" s="3"/>
      <c r="U2" s="3"/>
      <c r="V2" s="3"/>
      <c r="W2" s="3"/>
      <c r="X2" s="3"/>
      <c r="Y2" s="3"/>
      <c r="Z2" s="3"/>
      <c r="AA2" s="3" t="s">
        <v>40</v>
      </c>
      <c r="AB2" s="3" t="s">
        <v>291</v>
      </c>
      <c r="AC2" s="3" t="s">
        <v>187</v>
      </c>
      <c r="AD2" s="3" t="s">
        <v>29</v>
      </c>
      <c r="AE2" s="5" t="s">
        <v>176</v>
      </c>
      <c r="AF2" s="5" t="s">
        <v>292</v>
      </c>
      <c r="AG2" s="3"/>
      <c r="AH2" s="3"/>
      <c r="AI2" s="3"/>
      <c r="AJ2" s="3"/>
      <c r="AK2" s="3">
        <v>17</v>
      </c>
      <c r="AL2" s="3">
        <v>3.15</v>
      </c>
      <c r="AM2" s="7"/>
      <c r="AN2" s="3">
        <v>35.79</v>
      </c>
      <c r="AO2" s="3">
        <v>13.52</v>
      </c>
      <c r="AP2" s="3">
        <v>155.54</v>
      </c>
      <c r="AQ2" s="3">
        <v>0.18</v>
      </c>
      <c r="AR2" s="3"/>
      <c r="AS2" s="3"/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294</v>
      </c>
      <c r="AZ2" s="3" t="s">
        <v>295</v>
      </c>
      <c r="BA2" s="3"/>
      <c r="BB2" s="3"/>
      <c r="BC2" s="3" t="s">
        <v>250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1.18</v>
      </c>
      <c r="BK2" s="3">
        <v>12.5</v>
      </c>
      <c r="BL2" s="3">
        <v>1145.517101801255</v>
      </c>
      <c r="BM2" s="3">
        <v>8854.4828981987448</v>
      </c>
      <c r="BN2" s="5">
        <v>2026</v>
      </c>
      <c r="BO2" s="3" t="s">
        <v>134</v>
      </c>
      <c r="BP2" s="3" t="s">
        <v>135</v>
      </c>
      <c r="BQ2" s="3" t="s">
        <v>296</v>
      </c>
      <c r="BR2" s="3" t="s">
        <v>137</v>
      </c>
      <c r="BS2" s="3" t="s">
        <v>297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298</v>
      </c>
      <c r="BY2" s="3" t="s">
        <v>299</v>
      </c>
    </row>
    <row r="3" spans="1:77">
      <c r="A3" s="3" t="s">
        <v>300</v>
      </c>
      <c r="B3" s="4">
        <v>46155.416666666664</v>
      </c>
      <c r="C3" s="5">
        <v>18.999999999941792</v>
      </c>
      <c r="D3" s="5">
        <v>15</v>
      </c>
      <c r="E3" s="5">
        <v>1067.5999999999999</v>
      </c>
      <c r="F3" s="5">
        <v>31.64</v>
      </c>
      <c r="G3" s="5"/>
      <c r="H3" s="5"/>
      <c r="I3" s="5"/>
      <c r="J3" s="5"/>
      <c r="K3" s="5"/>
      <c r="L3" s="5"/>
      <c r="M3" s="5"/>
      <c r="N3" s="5"/>
      <c r="O3" s="3"/>
      <c r="P3" s="5"/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40</v>
      </c>
      <c r="AB3" s="3">
        <v>46155.416666666664</v>
      </c>
      <c r="AC3" s="3" t="s">
        <v>239</v>
      </c>
      <c r="AD3" s="3" t="s">
        <v>29</v>
      </c>
      <c r="AE3" s="5" t="s">
        <v>176</v>
      </c>
      <c r="AF3" s="5" t="s">
        <v>292</v>
      </c>
      <c r="AG3" s="3"/>
      <c r="AH3" s="3"/>
      <c r="AI3" s="3"/>
      <c r="AJ3" s="3"/>
      <c r="AK3" s="3">
        <v>16.899999999999999</v>
      </c>
      <c r="AL3" s="3">
        <v>3.13</v>
      </c>
      <c r="AM3" s="3"/>
      <c r="AN3" s="3">
        <v>32.33</v>
      </c>
      <c r="AO3" s="3">
        <v>20.9</v>
      </c>
      <c r="AP3" s="3"/>
      <c r="AQ3" s="3"/>
      <c r="AR3" s="3"/>
      <c r="AS3" s="3"/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301</v>
      </c>
      <c r="AZ3" s="3" t="s">
        <v>295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296</v>
      </c>
      <c r="BR3" s="3" t="s">
        <v>137</v>
      </c>
      <c r="BS3" s="3" t="s">
        <v>297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298</v>
      </c>
      <c r="BY3" s="3" t="s">
        <v>299</v>
      </c>
    </row>
    <row r="4" spans="1:77">
      <c r="A4" s="3" t="s">
        <v>302</v>
      </c>
      <c r="B4" s="4">
        <v>46155.625</v>
      </c>
      <c r="C4" s="5">
        <v>24</v>
      </c>
      <c r="D4" s="5">
        <v>15</v>
      </c>
      <c r="E4" s="5">
        <v>1066.5</v>
      </c>
      <c r="F4" s="5">
        <v>42.63</v>
      </c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40</v>
      </c>
      <c r="AB4" s="3" t="s">
        <v>303</v>
      </c>
      <c r="AC4" s="3" t="s">
        <v>187</v>
      </c>
      <c r="AD4" s="3" t="s">
        <v>29</v>
      </c>
      <c r="AE4" s="5" t="s">
        <v>176</v>
      </c>
      <c r="AF4" s="5" t="s">
        <v>292</v>
      </c>
      <c r="AG4" s="3"/>
      <c r="AH4" s="3"/>
      <c r="AI4" s="3"/>
      <c r="AJ4" s="3"/>
      <c r="AK4" s="3">
        <v>16.7</v>
      </c>
      <c r="AL4" s="3">
        <v>3.1</v>
      </c>
      <c r="AM4" s="3"/>
      <c r="AN4" s="3">
        <v>43.32</v>
      </c>
      <c r="AO4" s="3">
        <v>18.62</v>
      </c>
      <c r="AP4" s="3"/>
      <c r="AQ4" s="3"/>
      <c r="AR4" s="3"/>
      <c r="AS4" s="3"/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301</v>
      </c>
      <c r="AZ4" s="3" t="s">
        <v>295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296</v>
      </c>
      <c r="BR4" s="3" t="s">
        <v>137</v>
      </c>
      <c r="BS4" s="3" t="s">
        <v>297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298</v>
      </c>
      <c r="BY4" s="3" t="s">
        <v>299</v>
      </c>
    </row>
    <row r="5" spans="1:77">
      <c r="A5" s="3" t="s">
        <v>304</v>
      </c>
      <c r="B5" s="4">
        <v>46156.416666666664</v>
      </c>
      <c r="C5" s="5">
        <v>42.999999999941792</v>
      </c>
      <c r="D5" s="5">
        <v>15</v>
      </c>
      <c r="E5" s="5">
        <v>1065.3</v>
      </c>
      <c r="F5" s="5">
        <v>26.15</v>
      </c>
      <c r="G5" s="5"/>
      <c r="H5" s="5"/>
      <c r="I5" s="5"/>
      <c r="J5" s="5"/>
      <c r="K5" s="5"/>
      <c r="L5" s="5"/>
      <c r="M5" s="5"/>
      <c r="N5" s="5"/>
      <c r="O5" s="3"/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40</v>
      </c>
      <c r="AB5" s="3">
        <v>46156.416666666664</v>
      </c>
      <c r="AC5" s="3" t="s">
        <v>239</v>
      </c>
      <c r="AD5" s="3" t="s">
        <v>29</v>
      </c>
      <c r="AE5" s="5" t="s">
        <v>176</v>
      </c>
      <c r="AF5" s="5" t="s">
        <v>292</v>
      </c>
      <c r="AG5" s="3"/>
      <c r="AH5" s="3"/>
      <c r="AI5" s="3"/>
      <c r="AJ5" s="3"/>
      <c r="AK5" s="3">
        <v>16.399999999999999</v>
      </c>
      <c r="AL5" s="3">
        <v>3.09</v>
      </c>
      <c r="AM5" s="3"/>
      <c r="AN5" s="3">
        <v>26.23</v>
      </c>
      <c r="AO5" s="3">
        <v>28.4</v>
      </c>
      <c r="AP5" s="3"/>
      <c r="AQ5" s="3"/>
      <c r="AR5" s="3"/>
      <c r="AS5" s="3"/>
      <c r="AT5" s="5" t="s">
        <v>146</v>
      </c>
      <c r="AU5" s="3" t="s">
        <v>158</v>
      </c>
      <c r="AV5" s="3" t="s">
        <v>127</v>
      </c>
      <c r="AW5" s="3">
        <v>15</v>
      </c>
      <c r="AX5" s="3" t="s">
        <v>148</v>
      </c>
      <c r="AY5" s="3" t="s">
        <v>301</v>
      </c>
      <c r="AZ5" s="3" t="s">
        <v>295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296</v>
      </c>
      <c r="BR5" s="3" t="s">
        <v>137</v>
      </c>
      <c r="BS5" s="3" t="s">
        <v>297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298</v>
      </c>
      <c r="BY5" s="3" t="s">
        <v>299</v>
      </c>
    </row>
    <row r="6" spans="1:77">
      <c r="A6" s="3" t="s">
        <v>307</v>
      </c>
      <c r="B6" s="4">
        <v>46157.416666666664</v>
      </c>
      <c r="C6" s="5">
        <v>66.999999999941792</v>
      </c>
      <c r="D6" s="5">
        <v>15</v>
      </c>
      <c r="E6" s="5">
        <v>1065.2</v>
      </c>
      <c r="F6" s="5">
        <v>31.26</v>
      </c>
      <c r="G6" s="5"/>
      <c r="H6" s="5"/>
      <c r="I6" s="5"/>
      <c r="J6" s="5"/>
      <c r="K6" s="5"/>
      <c r="O6" s="3"/>
      <c r="P6" s="5"/>
      <c r="Q6" s="5"/>
      <c r="R6" s="3"/>
      <c r="S6" s="3"/>
      <c r="T6" s="3"/>
      <c r="U6" s="3"/>
      <c r="V6" s="3"/>
      <c r="W6" s="3"/>
      <c r="X6" s="3"/>
      <c r="Y6" s="3"/>
      <c r="Z6" s="3"/>
      <c r="AA6" s="3" t="s">
        <v>40</v>
      </c>
      <c r="AB6" s="3">
        <v>46157.416666666664</v>
      </c>
      <c r="AC6" s="3" t="s">
        <v>239</v>
      </c>
      <c r="AD6" s="3" t="s">
        <v>29</v>
      </c>
      <c r="AE6" s="5" t="s">
        <v>176</v>
      </c>
      <c r="AF6" s="5" t="s">
        <v>292</v>
      </c>
      <c r="AG6" s="3"/>
      <c r="AH6" s="3"/>
      <c r="AI6" s="3"/>
      <c r="AJ6" s="3"/>
      <c r="AK6" s="3">
        <v>16.3</v>
      </c>
      <c r="AL6" s="3">
        <v>3.11</v>
      </c>
      <c r="AM6" s="3"/>
      <c r="AN6" s="3">
        <v>31.49</v>
      </c>
      <c r="AO6" s="3">
        <v>23.66</v>
      </c>
      <c r="AR6" s="3"/>
      <c r="AS6" s="3"/>
      <c r="AT6" s="5" t="s">
        <v>146</v>
      </c>
      <c r="AU6" s="3" t="s">
        <v>306</v>
      </c>
      <c r="AV6" s="3" t="s">
        <v>127</v>
      </c>
      <c r="AW6" s="3">
        <v>15</v>
      </c>
      <c r="AX6" s="3" t="s">
        <v>148</v>
      </c>
      <c r="AY6" s="3" t="s">
        <v>301</v>
      </c>
      <c r="AZ6" s="3" t="s">
        <v>295</v>
      </c>
      <c r="BA6" s="3"/>
      <c r="BB6" s="3"/>
      <c r="BC6" s="3"/>
      <c r="BD6" s="3"/>
      <c r="BE6" s="3"/>
      <c r="BF6" s="3"/>
      <c r="BG6" s="3"/>
      <c r="BN6" s="5">
        <v>2026</v>
      </c>
      <c r="BO6" s="3" t="s">
        <v>134</v>
      </c>
      <c r="BP6" s="3" t="s">
        <v>135</v>
      </c>
      <c r="BQ6" s="3" t="s">
        <v>296</v>
      </c>
      <c r="BR6" s="3" t="s">
        <v>137</v>
      </c>
      <c r="BS6" s="3" t="s">
        <v>297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298</v>
      </c>
      <c r="BY6" s="3" t="s">
        <v>299</v>
      </c>
    </row>
    <row r="7" spans="1:77">
      <c r="A7" s="3" t="s">
        <v>305</v>
      </c>
      <c r="B7" s="4">
        <v>46157.625</v>
      </c>
      <c r="C7" s="5">
        <v>72</v>
      </c>
      <c r="D7" s="5">
        <v>15</v>
      </c>
      <c r="E7" s="5">
        <v>1060.8</v>
      </c>
      <c r="F7" s="5">
        <v>39.479999999999997</v>
      </c>
      <c r="G7" s="5"/>
      <c r="H7" s="5">
        <v>59.59</v>
      </c>
      <c r="I7" s="5">
        <v>81.95</v>
      </c>
      <c r="J7" s="5">
        <v>77</v>
      </c>
      <c r="K7" s="5">
        <v>91</v>
      </c>
      <c r="L7" s="5">
        <v>151.62</v>
      </c>
      <c r="M7" s="5">
        <v>2.0499999999999998</v>
      </c>
      <c r="N7" s="5">
        <v>28</v>
      </c>
      <c r="O7" s="3">
        <v>2.08</v>
      </c>
      <c r="P7" s="5"/>
      <c r="Q7" s="5">
        <v>2.08</v>
      </c>
      <c r="R7" s="3"/>
      <c r="S7" s="3"/>
      <c r="T7" s="3"/>
      <c r="U7" s="3"/>
      <c r="V7" s="3"/>
      <c r="W7" s="3"/>
      <c r="X7" s="3"/>
      <c r="Y7" s="3"/>
      <c r="Z7" s="3"/>
      <c r="AA7" s="3" t="s">
        <v>40</v>
      </c>
      <c r="AB7" s="3" t="s">
        <v>308</v>
      </c>
      <c r="AC7" s="3" t="s">
        <v>187</v>
      </c>
      <c r="AD7" s="3" t="s">
        <v>29</v>
      </c>
      <c r="AE7" s="5" t="s">
        <v>176</v>
      </c>
      <c r="AF7" s="5" t="s">
        <v>292</v>
      </c>
      <c r="AG7" s="3"/>
      <c r="AH7" s="3"/>
      <c r="AI7" s="3"/>
      <c r="AJ7" s="3"/>
      <c r="AK7" s="3">
        <v>15.2</v>
      </c>
      <c r="AL7" s="3">
        <v>3.07</v>
      </c>
      <c r="AM7" s="3"/>
      <c r="AN7" s="3">
        <v>40.25</v>
      </c>
      <c r="AO7" s="3">
        <v>24.43</v>
      </c>
      <c r="AP7" s="3">
        <v>141.54</v>
      </c>
      <c r="AQ7" s="3">
        <v>0.23</v>
      </c>
      <c r="AR7" s="3"/>
      <c r="AS7" s="3"/>
      <c r="AT7" s="5" t="s">
        <v>125</v>
      </c>
      <c r="AU7" s="3" t="s">
        <v>309</v>
      </c>
      <c r="AV7" s="3" t="s">
        <v>127</v>
      </c>
      <c r="AW7" s="3">
        <v>50</v>
      </c>
      <c r="AX7" s="3" t="s">
        <v>128</v>
      </c>
      <c r="AY7" s="3" t="s">
        <v>310</v>
      </c>
      <c r="AZ7" s="3" t="s">
        <v>295</v>
      </c>
      <c r="BA7" s="3"/>
      <c r="BB7" s="3"/>
      <c r="BC7" s="3" t="s">
        <v>131</v>
      </c>
      <c r="BD7" s="3" t="s">
        <v>243</v>
      </c>
      <c r="BE7" s="3" t="s">
        <v>133</v>
      </c>
      <c r="BF7" s="3"/>
      <c r="BG7" s="3"/>
      <c r="BH7" s="3">
        <v>10</v>
      </c>
      <c r="BI7" s="3">
        <v>0</v>
      </c>
      <c r="BJ7" s="3">
        <v>2.08</v>
      </c>
      <c r="BK7" s="3">
        <v>12.5</v>
      </c>
      <c r="BL7" s="3">
        <v>1064.1339869281046</v>
      </c>
      <c r="BM7" s="3">
        <v>8935.8660130718963</v>
      </c>
      <c r="BN7" s="5">
        <v>2026</v>
      </c>
      <c r="BO7" s="3" t="s">
        <v>134</v>
      </c>
      <c r="BP7" s="3" t="s">
        <v>135</v>
      </c>
      <c r="BQ7" s="3" t="s">
        <v>296</v>
      </c>
      <c r="BR7" s="3" t="s">
        <v>137</v>
      </c>
      <c r="BS7" s="3" t="s">
        <v>297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298</v>
      </c>
      <c r="BY7" s="3" t="s">
        <v>299</v>
      </c>
    </row>
    <row r="8" spans="1:77">
      <c r="A8" s="3" t="s">
        <v>583</v>
      </c>
      <c r="B8" s="4">
        <f>B7+7/24</f>
        <v>46157.916666666664</v>
      </c>
      <c r="C8" s="5">
        <v>79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311</v>
      </c>
      <c r="B9" s="4">
        <v>46160.416666666664</v>
      </c>
      <c r="C9" s="5">
        <v>138.99999999994179</v>
      </c>
      <c r="D9" s="5">
        <v>15</v>
      </c>
      <c r="E9" s="5">
        <v>1015.1</v>
      </c>
      <c r="F9" s="5">
        <v>111.21</v>
      </c>
      <c r="G9" s="5"/>
      <c r="H9" s="5"/>
      <c r="I9" s="5"/>
      <c r="J9" s="5"/>
      <c r="K9" s="5"/>
      <c r="L9" s="5"/>
      <c r="M9" s="5"/>
      <c r="N9" s="5"/>
      <c r="O9" s="3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40</v>
      </c>
      <c r="AB9" s="3">
        <v>46160.416666666664</v>
      </c>
      <c r="AC9" s="3" t="s">
        <v>239</v>
      </c>
      <c r="AD9" s="3" t="s">
        <v>29</v>
      </c>
      <c r="AE9" s="5" t="s">
        <v>176</v>
      </c>
      <c r="AF9" s="5" t="s">
        <v>292</v>
      </c>
      <c r="AG9" s="3"/>
      <c r="AH9" s="3"/>
      <c r="AI9" s="3"/>
      <c r="AJ9" s="3"/>
      <c r="AK9" s="3">
        <v>4.4000000000000004</v>
      </c>
      <c r="AL9" s="3">
        <v>2.99</v>
      </c>
      <c r="AM9" s="3"/>
      <c r="AN9" s="3">
        <v>111.83</v>
      </c>
      <c r="AO9" s="3">
        <v>20.88</v>
      </c>
      <c r="AP9" s="3"/>
      <c r="AQ9" s="3"/>
      <c r="AR9" s="3"/>
      <c r="AS9" s="3"/>
      <c r="AT9" s="5" t="s">
        <v>146</v>
      </c>
      <c r="AU9" s="3" t="s">
        <v>313</v>
      </c>
      <c r="AV9" s="3" t="s">
        <v>127</v>
      </c>
      <c r="AW9" s="3">
        <v>15</v>
      </c>
      <c r="AX9" s="3" t="s">
        <v>148</v>
      </c>
      <c r="AY9" s="3" t="s">
        <v>301</v>
      </c>
      <c r="AZ9" s="3" t="s">
        <v>295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296</v>
      </c>
      <c r="BR9" s="3" t="s">
        <v>137</v>
      </c>
      <c r="BS9" s="3" t="s">
        <v>297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298</v>
      </c>
      <c r="BY9" s="3" t="s">
        <v>299</v>
      </c>
    </row>
    <row r="10" spans="1:77">
      <c r="A10" s="3" t="s">
        <v>314</v>
      </c>
      <c r="B10" s="4">
        <v>46161.416666666664</v>
      </c>
      <c r="C10" s="5">
        <v>162.99999999994179</v>
      </c>
      <c r="D10" s="5">
        <v>15</v>
      </c>
      <c r="E10" s="5">
        <v>1004.7</v>
      </c>
      <c r="F10" s="5">
        <v>85.79</v>
      </c>
      <c r="G10" s="5"/>
      <c r="H10" s="5">
        <v>0.3</v>
      </c>
      <c r="I10" s="5">
        <v>15.39</v>
      </c>
      <c r="J10" s="5">
        <v>16</v>
      </c>
      <c r="K10" s="5">
        <v>0</v>
      </c>
      <c r="L10" s="5">
        <v>16</v>
      </c>
      <c r="M10" s="5">
        <v>5.49</v>
      </c>
      <c r="N10" s="5">
        <v>40</v>
      </c>
      <c r="O10" s="3">
        <v>9.35</v>
      </c>
      <c r="P10" s="5"/>
      <c r="Q10" s="5">
        <v>9.35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40</v>
      </c>
      <c r="AB10" s="3">
        <v>46161.416666666664</v>
      </c>
      <c r="AC10" s="3" t="s">
        <v>239</v>
      </c>
      <c r="AD10" s="3" t="s">
        <v>29</v>
      </c>
      <c r="AE10" s="5" t="s">
        <v>176</v>
      </c>
      <c r="AF10" s="5" t="s">
        <v>292</v>
      </c>
      <c r="AG10" s="3"/>
      <c r="AH10" s="3"/>
      <c r="AI10" s="3"/>
      <c r="AJ10" s="3"/>
      <c r="AK10" s="3">
        <v>1.6</v>
      </c>
      <c r="AL10" s="3">
        <v>2.95</v>
      </c>
      <c r="AM10" s="3"/>
      <c r="AN10" s="3">
        <v>86.18</v>
      </c>
      <c r="AO10" s="3">
        <v>18.36</v>
      </c>
      <c r="AP10" s="3">
        <v>15.69</v>
      </c>
      <c r="AQ10" s="3">
        <v>0.45</v>
      </c>
      <c r="AR10" s="3"/>
      <c r="AS10" s="3"/>
      <c r="AT10" s="5" t="s">
        <v>146</v>
      </c>
      <c r="AU10" s="3" t="s">
        <v>315</v>
      </c>
      <c r="AV10" s="3" t="s">
        <v>127</v>
      </c>
      <c r="AW10" s="3">
        <v>15</v>
      </c>
      <c r="AX10" s="3" t="s">
        <v>148</v>
      </c>
      <c r="AY10" s="3" t="s">
        <v>301</v>
      </c>
      <c r="AZ10" s="3" t="s">
        <v>295</v>
      </c>
      <c r="BA10" s="3"/>
      <c r="BB10" s="3"/>
      <c r="BC10" s="3"/>
      <c r="BD10" s="3"/>
      <c r="BE10" s="3"/>
      <c r="BF10" s="3"/>
      <c r="BG10" s="3"/>
      <c r="BH10" s="3">
        <v>10</v>
      </c>
      <c r="BI10" s="3">
        <v>0</v>
      </c>
      <c r="BJ10" s="3">
        <v>9.35</v>
      </c>
      <c r="BK10" s="3">
        <v>12.5</v>
      </c>
      <c r="BL10" s="3">
        <v>347.49034749034746</v>
      </c>
      <c r="BM10" s="3">
        <v>9652.5096525096524</v>
      </c>
      <c r="BN10" s="5">
        <v>2026</v>
      </c>
      <c r="BO10" s="3" t="s">
        <v>134</v>
      </c>
      <c r="BP10" s="3" t="s">
        <v>135</v>
      </c>
      <c r="BQ10" s="3" t="s">
        <v>296</v>
      </c>
      <c r="BR10" s="3" t="s">
        <v>137</v>
      </c>
      <c r="BS10" s="3" t="s">
        <v>297</v>
      </c>
      <c r="BT10" s="3" t="s">
        <v>213</v>
      </c>
      <c r="BU10" s="3" t="s">
        <v>140</v>
      </c>
      <c r="BV10" s="3" t="s">
        <v>141</v>
      </c>
      <c r="BW10" s="3">
        <v>2</v>
      </c>
      <c r="BX10" s="3" t="s">
        <v>298</v>
      </c>
      <c r="BY10" s="3" t="s">
        <v>299</v>
      </c>
    </row>
    <row r="11" spans="1:77">
      <c r="A11" s="3" t="s">
        <v>316</v>
      </c>
      <c r="B11" s="4">
        <v>46162.416666666664</v>
      </c>
      <c r="C11" s="5">
        <v>186.99999999994179</v>
      </c>
      <c r="D11" s="5">
        <v>15</v>
      </c>
      <c r="E11" s="5">
        <v>998.3</v>
      </c>
      <c r="F11" s="5">
        <v>114.13</v>
      </c>
      <c r="G11" s="5"/>
      <c r="H11" s="5">
        <v>0.25</v>
      </c>
      <c r="I11" s="5">
        <v>3</v>
      </c>
      <c r="J11" s="5">
        <v>20</v>
      </c>
      <c r="K11" s="5">
        <v>0</v>
      </c>
      <c r="L11" s="5">
        <v>20</v>
      </c>
      <c r="M11" s="5">
        <v>5.66</v>
      </c>
      <c r="N11" s="5">
        <v>38</v>
      </c>
      <c r="O11" s="3">
        <v>10.14</v>
      </c>
      <c r="P11" s="5"/>
      <c r="Q11" s="5">
        <v>10.139999999999999</v>
      </c>
      <c r="R11" s="3"/>
      <c r="S11" s="3"/>
      <c r="T11" s="3"/>
      <c r="U11" s="3"/>
      <c r="V11" s="3"/>
      <c r="W11" s="3"/>
      <c r="X11" s="3"/>
      <c r="Y11" s="3"/>
      <c r="Z11" s="3"/>
      <c r="AA11" s="3" t="s">
        <v>40</v>
      </c>
      <c r="AB11" s="3">
        <v>46162.416666666664</v>
      </c>
      <c r="AC11" s="3" t="s">
        <v>239</v>
      </c>
      <c r="AD11" s="3" t="s">
        <v>29</v>
      </c>
      <c r="AE11" s="5" t="s">
        <v>176</v>
      </c>
      <c r="AF11" s="5" t="s">
        <v>292</v>
      </c>
      <c r="AG11" s="3"/>
      <c r="AH11" s="3"/>
      <c r="AI11" s="3"/>
      <c r="AJ11" s="3"/>
      <c r="AK11" s="3">
        <v>0</v>
      </c>
      <c r="AL11" s="3">
        <v>2.98</v>
      </c>
      <c r="AM11" s="3"/>
      <c r="AN11" s="3">
        <v>114.36</v>
      </c>
      <c r="AO11" s="3">
        <v>16.920000000000002</v>
      </c>
      <c r="AP11" s="3">
        <v>3.25</v>
      </c>
      <c r="AQ11" s="3">
        <v>0.46</v>
      </c>
      <c r="AR11" s="3"/>
      <c r="AS11" s="3"/>
      <c r="AT11" s="5" t="s">
        <v>125</v>
      </c>
      <c r="AU11" s="3" t="s">
        <v>317</v>
      </c>
      <c r="AV11" s="3" t="s">
        <v>127</v>
      </c>
      <c r="AW11" s="3">
        <v>50</v>
      </c>
      <c r="AX11" s="3" t="s">
        <v>128</v>
      </c>
      <c r="AY11" s="3" t="s">
        <v>310</v>
      </c>
      <c r="AZ11" s="3" t="s">
        <v>295</v>
      </c>
      <c r="BA11" s="3"/>
      <c r="BB11" s="3"/>
      <c r="BC11" s="3" t="s">
        <v>131</v>
      </c>
      <c r="BD11" s="3" t="s">
        <v>131</v>
      </c>
      <c r="BE11" s="3" t="s">
        <v>133</v>
      </c>
      <c r="BF11" s="3"/>
      <c r="BG11" s="3"/>
      <c r="BH11" s="3">
        <v>10</v>
      </c>
      <c r="BI11" s="3">
        <v>0</v>
      </c>
      <c r="BJ11" s="3">
        <v>10.139999999999999</v>
      </c>
      <c r="BK11" s="3">
        <v>12.5</v>
      </c>
      <c r="BL11" s="3">
        <v>262.63075895837977</v>
      </c>
      <c r="BM11" s="3">
        <v>9737.3692410416206</v>
      </c>
      <c r="BN11" s="5">
        <v>2026</v>
      </c>
      <c r="BO11" s="3" t="s">
        <v>134</v>
      </c>
      <c r="BP11" s="3" t="s">
        <v>135</v>
      </c>
      <c r="BQ11" s="3" t="s">
        <v>296</v>
      </c>
      <c r="BR11" s="3" t="s">
        <v>137</v>
      </c>
      <c r="BS11" s="3" t="s">
        <v>297</v>
      </c>
      <c r="BT11" s="3" t="s">
        <v>213</v>
      </c>
      <c r="BU11" s="3" t="s">
        <v>140</v>
      </c>
      <c r="BV11" s="3" t="s">
        <v>141</v>
      </c>
      <c r="BW11" s="3">
        <v>2</v>
      </c>
      <c r="BX11" s="3" t="s">
        <v>298</v>
      </c>
      <c r="BY11" s="3" t="s">
        <v>299</v>
      </c>
    </row>
    <row r="14" spans="1:77">
      <c r="B14" s="6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Y10"/>
  <sheetViews>
    <sheetView topLeftCell="AE1" workbookViewId="0">
      <selection activeCell="AM20" sqref="AM20"/>
    </sheetView>
  </sheetViews>
  <sheetFormatPr baseColWidth="10" defaultColWidth="9" defaultRowHeight="14.25"/>
  <cols>
    <col min="1" max="1" width="13" customWidth="1"/>
    <col min="2" max="2" width="15.75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318</v>
      </c>
      <c r="B2" s="4">
        <v>46154.625</v>
      </c>
      <c r="C2" s="5">
        <v>0</v>
      </c>
      <c r="D2" s="5">
        <v>18</v>
      </c>
      <c r="E2" s="5">
        <v>1066.5</v>
      </c>
      <c r="F2" s="5">
        <v>35.520000000000003</v>
      </c>
      <c r="G2" s="5"/>
      <c r="H2" s="5">
        <v>75.61</v>
      </c>
      <c r="I2" s="5">
        <v>76.67</v>
      </c>
      <c r="J2" s="5">
        <v>112</v>
      </c>
      <c r="K2" s="5">
        <v>132</v>
      </c>
      <c r="L2" s="5">
        <v>220.24</v>
      </c>
      <c r="M2" s="5">
        <v>1.25</v>
      </c>
      <c r="N2" s="5">
        <v>0</v>
      </c>
      <c r="O2" s="3"/>
      <c r="P2" s="5"/>
      <c r="Q2" s="5">
        <v>1.18</v>
      </c>
      <c r="R2" s="3"/>
      <c r="S2" s="3"/>
      <c r="T2" s="3"/>
      <c r="U2" s="3"/>
      <c r="V2" s="3"/>
      <c r="W2" s="3"/>
      <c r="X2" s="3"/>
      <c r="Y2" s="3"/>
      <c r="Z2" s="3"/>
      <c r="AA2" s="3" t="s">
        <v>41</v>
      </c>
      <c r="AB2" s="3" t="s">
        <v>291</v>
      </c>
      <c r="AC2" s="3" t="s">
        <v>187</v>
      </c>
      <c r="AD2" s="3" t="s">
        <v>29</v>
      </c>
      <c r="AE2" s="5" t="s">
        <v>176</v>
      </c>
      <c r="AF2" s="5" t="s">
        <v>319</v>
      </c>
      <c r="AG2" s="3"/>
      <c r="AH2" s="3" t="s">
        <v>320</v>
      </c>
      <c r="AI2" s="3">
        <v>0</v>
      </c>
      <c r="AJ2" s="3" t="s">
        <v>124</v>
      </c>
      <c r="AK2" s="3">
        <v>16.8</v>
      </c>
      <c r="AL2" s="3">
        <v>3.17</v>
      </c>
      <c r="AM2" s="7"/>
      <c r="AN2" s="3">
        <v>36.79</v>
      </c>
      <c r="AO2" s="3">
        <v>10.75</v>
      </c>
      <c r="AP2" s="3">
        <v>152.28</v>
      </c>
      <c r="AQ2" s="3">
        <v>0.17</v>
      </c>
      <c r="AR2" s="3"/>
      <c r="AS2" s="3"/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294</v>
      </c>
      <c r="AZ2" s="3" t="s">
        <v>295</v>
      </c>
      <c r="BA2" s="3"/>
      <c r="BB2" s="3"/>
      <c r="BC2" s="3" t="s">
        <v>250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1.18</v>
      </c>
      <c r="BK2" s="3">
        <v>12.5</v>
      </c>
      <c r="BL2" s="3">
        <v>1145.517101801255</v>
      </c>
      <c r="BM2" s="3">
        <v>8854.4828981987448</v>
      </c>
      <c r="BN2" s="5">
        <v>2026</v>
      </c>
      <c r="BO2" s="3" t="s">
        <v>134</v>
      </c>
      <c r="BP2" s="3" t="s">
        <v>135</v>
      </c>
      <c r="BQ2" s="3" t="s">
        <v>296</v>
      </c>
      <c r="BR2" s="3" t="s">
        <v>191</v>
      </c>
      <c r="BS2" s="3" t="s">
        <v>321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322</v>
      </c>
      <c r="BY2" s="3" t="s">
        <v>323</v>
      </c>
    </row>
    <row r="3" spans="1:77">
      <c r="A3" s="3" t="s">
        <v>324</v>
      </c>
      <c r="B3" s="4">
        <v>46155.416666666664</v>
      </c>
      <c r="C3" s="5">
        <f>(T_ING26_LAB011[[#This Row],[fecha_hora]]-B2)*24+C2</f>
        <v>18.999999999941792</v>
      </c>
      <c r="D3" s="5">
        <v>18</v>
      </c>
      <c r="E3" s="5">
        <v>1067.2</v>
      </c>
      <c r="F3" s="5">
        <v>25.12</v>
      </c>
      <c r="G3" s="5"/>
      <c r="H3" s="5">
        <v>68.25</v>
      </c>
      <c r="I3" s="5">
        <v>88.240000000000009</v>
      </c>
      <c r="J3" s="5">
        <v>115</v>
      </c>
      <c r="K3" s="5">
        <v>132</v>
      </c>
      <c r="L3" s="5">
        <v>223.24</v>
      </c>
      <c r="M3" s="5">
        <v>1.32</v>
      </c>
      <c r="N3" s="5">
        <v>4</v>
      </c>
      <c r="O3" s="3"/>
      <c r="P3" s="5"/>
      <c r="Q3" s="5">
        <v>1.28</v>
      </c>
      <c r="R3" s="3"/>
      <c r="S3" s="3"/>
      <c r="T3" s="3"/>
      <c r="U3" s="3"/>
      <c r="V3" s="3"/>
      <c r="W3" s="3"/>
      <c r="X3" s="3"/>
      <c r="Y3" s="3"/>
      <c r="Z3" s="3"/>
      <c r="AA3" s="3" t="s">
        <v>41</v>
      </c>
      <c r="AB3" s="3">
        <v>46155.416666666664</v>
      </c>
      <c r="AC3" s="3" t="s">
        <v>239</v>
      </c>
      <c r="AD3" s="3" t="s">
        <v>29</v>
      </c>
      <c r="AE3" s="5" t="s">
        <v>176</v>
      </c>
      <c r="AF3" s="5" t="s">
        <v>319</v>
      </c>
      <c r="AG3" s="3"/>
      <c r="AH3" s="3"/>
      <c r="AI3" s="3"/>
      <c r="AJ3" s="3"/>
      <c r="AK3" s="3">
        <v>16.899999999999999</v>
      </c>
      <c r="AL3" s="3">
        <v>3.14</v>
      </c>
      <c r="AM3" s="3"/>
      <c r="AN3" s="3">
        <v>25.42</v>
      </c>
      <c r="AO3" s="3">
        <v>18.43</v>
      </c>
      <c r="AP3" s="3">
        <v>156.49</v>
      </c>
      <c r="AQ3" s="3">
        <v>0.2</v>
      </c>
      <c r="AR3" s="3"/>
      <c r="AS3" s="3"/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301</v>
      </c>
      <c r="AZ3" s="3" t="s">
        <v>295</v>
      </c>
      <c r="BA3" s="3"/>
      <c r="BB3" s="3"/>
      <c r="BC3" s="3"/>
      <c r="BD3" s="3"/>
      <c r="BE3" s="3"/>
      <c r="BF3" s="3"/>
      <c r="BG3" s="3"/>
      <c r="BH3" s="3">
        <v>10</v>
      </c>
      <c r="BI3" s="3">
        <v>0</v>
      </c>
      <c r="BJ3" s="3">
        <v>1.28</v>
      </c>
      <c r="BK3" s="3">
        <v>12.5</v>
      </c>
      <c r="BL3" s="3">
        <v>1136.5478119935171</v>
      </c>
      <c r="BM3" s="3">
        <v>8863.4521880064822</v>
      </c>
      <c r="BN3" s="5">
        <v>2026</v>
      </c>
      <c r="BO3" s="3" t="s">
        <v>134</v>
      </c>
      <c r="BP3" s="3" t="s">
        <v>135</v>
      </c>
      <c r="BQ3" s="3" t="s">
        <v>296</v>
      </c>
      <c r="BR3" s="3" t="s">
        <v>191</v>
      </c>
      <c r="BS3" s="3" t="s">
        <v>321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322</v>
      </c>
      <c r="BY3" s="3" t="s">
        <v>323</v>
      </c>
    </row>
    <row r="4" spans="1:77">
      <c r="A4" s="3" t="s">
        <v>327</v>
      </c>
      <c r="B4" s="4">
        <v>46155.625</v>
      </c>
      <c r="C4" s="5">
        <f>(T_ING26_LAB011[[#This Row],[fecha_hora]]-B6)*24+C6</f>
        <v>24</v>
      </c>
      <c r="D4" s="5">
        <v>15</v>
      </c>
      <c r="E4" s="5">
        <v>1065.4000000000001</v>
      </c>
      <c r="F4" s="5">
        <v>24.96</v>
      </c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41</v>
      </c>
      <c r="AB4" s="3" t="s">
        <v>328</v>
      </c>
      <c r="AC4" s="3" t="s">
        <v>187</v>
      </c>
      <c r="AD4" s="3" t="s">
        <v>29</v>
      </c>
      <c r="AE4" s="5" t="s">
        <v>176</v>
      </c>
      <c r="AF4" s="5" t="s">
        <v>326</v>
      </c>
      <c r="AG4" s="3"/>
      <c r="AH4" s="3"/>
      <c r="AI4" s="3"/>
      <c r="AJ4" s="3"/>
      <c r="AK4" s="3">
        <v>16.5</v>
      </c>
      <c r="AL4" s="3">
        <v>3.13</v>
      </c>
      <c r="AM4" s="3"/>
      <c r="AN4" s="3">
        <v>25.19</v>
      </c>
      <c r="AO4" s="3">
        <v>24.7</v>
      </c>
      <c r="AP4" s="3"/>
      <c r="AQ4" s="3"/>
      <c r="AR4" s="3"/>
      <c r="AS4" s="3"/>
      <c r="AT4" s="5" t="s">
        <v>125</v>
      </c>
      <c r="AU4" s="3" t="s">
        <v>329</v>
      </c>
      <c r="AV4" s="3" t="s">
        <v>127</v>
      </c>
      <c r="AW4" s="3">
        <v>50</v>
      </c>
      <c r="AX4" s="3" t="s">
        <v>128</v>
      </c>
      <c r="AY4" s="3" t="s">
        <v>294</v>
      </c>
      <c r="AZ4" s="3" t="s">
        <v>295</v>
      </c>
      <c r="BA4" s="3"/>
      <c r="BB4" s="3"/>
      <c r="BC4" s="3" t="s">
        <v>250</v>
      </c>
      <c r="BD4" s="3" t="s">
        <v>243</v>
      </c>
      <c r="BE4" s="3" t="s">
        <v>244</v>
      </c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296</v>
      </c>
      <c r="BR4" s="3" t="s">
        <v>191</v>
      </c>
      <c r="BS4" s="3" t="s">
        <v>321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322</v>
      </c>
      <c r="BY4" s="3" t="s">
        <v>323</v>
      </c>
    </row>
    <row r="5" spans="1:77">
      <c r="A5" s="3" t="s">
        <v>325</v>
      </c>
      <c r="B5" s="4">
        <v>46156.416666666664</v>
      </c>
      <c r="C5" s="5">
        <f>(T_ING26_LAB011[[#This Row],[fecha_hora]]-B3)*24+C3</f>
        <v>42.999999999941792</v>
      </c>
      <c r="D5" s="5">
        <v>15</v>
      </c>
      <c r="E5" s="5">
        <v>1063.5999999999999</v>
      </c>
      <c r="F5" s="5">
        <v>32.57</v>
      </c>
      <c r="G5" s="5"/>
      <c r="H5" s="5"/>
      <c r="I5" s="5"/>
      <c r="J5" s="5"/>
      <c r="K5" s="5"/>
      <c r="L5" s="5"/>
      <c r="M5" s="5"/>
      <c r="N5" s="5"/>
      <c r="O5" s="3"/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41</v>
      </c>
      <c r="AB5" s="3">
        <v>46156.416666666664</v>
      </c>
      <c r="AC5" s="3" t="s">
        <v>239</v>
      </c>
      <c r="AD5" s="3" t="s">
        <v>29</v>
      </c>
      <c r="AE5" s="5" t="s">
        <v>176</v>
      </c>
      <c r="AF5" s="5" t="s">
        <v>326</v>
      </c>
      <c r="AG5" s="3"/>
      <c r="AH5" s="3"/>
      <c r="AI5" s="3"/>
      <c r="AJ5" s="3"/>
      <c r="AK5" s="3">
        <v>16</v>
      </c>
      <c r="AL5" s="3">
        <v>3.1</v>
      </c>
      <c r="AM5" s="3"/>
      <c r="AN5" s="3">
        <v>32.799999999999997</v>
      </c>
      <c r="AO5" s="3">
        <v>26.93</v>
      </c>
      <c r="AP5" s="3"/>
      <c r="AQ5" s="3"/>
      <c r="AR5" s="3"/>
      <c r="AS5" s="3"/>
      <c r="AT5" s="5" t="s">
        <v>146</v>
      </c>
      <c r="AU5" s="3" t="s">
        <v>178</v>
      </c>
      <c r="AV5" s="3" t="s">
        <v>127</v>
      </c>
      <c r="AW5" s="3">
        <v>15</v>
      </c>
      <c r="AX5" s="3" t="s">
        <v>148</v>
      </c>
      <c r="AY5" s="3" t="s">
        <v>301</v>
      </c>
      <c r="AZ5" s="3" t="s">
        <v>295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296</v>
      </c>
      <c r="BR5" s="3" t="s">
        <v>191</v>
      </c>
      <c r="BS5" s="3" t="s">
        <v>321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322</v>
      </c>
      <c r="BY5" s="3" t="s">
        <v>323</v>
      </c>
    </row>
    <row r="6" spans="1:77">
      <c r="A6" s="3" t="s">
        <v>330</v>
      </c>
      <c r="B6" s="4">
        <v>46156.416666666664</v>
      </c>
      <c r="C6" s="5">
        <f>(T_ING26_LAB011[[#This Row],[fecha_hora]]-B5)*24+C5</f>
        <v>42.999999999941792</v>
      </c>
      <c r="D6" s="5">
        <v>15</v>
      </c>
      <c r="E6" s="5">
        <v>1062.8</v>
      </c>
      <c r="F6" s="5">
        <v>35.83</v>
      </c>
      <c r="G6" s="5"/>
      <c r="H6" s="5">
        <v>62.97</v>
      </c>
      <c r="I6" s="5">
        <v>81.41</v>
      </c>
      <c r="J6" s="5">
        <v>87</v>
      </c>
      <c r="K6" s="5">
        <v>114</v>
      </c>
      <c r="L6" s="5">
        <v>180.48</v>
      </c>
      <c r="M6" s="5">
        <v>1.92</v>
      </c>
      <c r="N6" s="5">
        <v>43</v>
      </c>
      <c r="O6" s="3"/>
      <c r="P6" s="5"/>
      <c r="Q6" s="5">
        <v>1.82</v>
      </c>
      <c r="R6" s="3"/>
      <c r="S6" s="3"/>
      <c r="T6" s="3"/>
      <c r="U6" s="3"/>
      <c r="V6" s="3"/>
      <c r="W6" s="3"/>
      <c r="X6" s="3"/>
      <c r="Y6" s="3"/>
      <c r="Z6" s="3"/>
      <c r="AA6" s="3" t="s">
        <v>41</v>
      </c>
      <c r="AB6" s="3" t="s">
        <v>328</v>
      </c>
      <c r="AC6" s="3" t="s">
        <v>187</v>
      </c>
      <c r="AD6" s="3" t="s">
        <v>29</v>
      </c>
      <c r="AE6" s="5" t="s">
        <v>176</v>
      </c>
      <c r="AF6" s="5" t="s">
        <v>326</v>
      </c>
      <c r="AG6" s="3"/>
      <c r="AH6" s="3"/>
      <c r="AI6" s="3"/>
      <c r="AJ6" s="3"/>
      <c r="AK6" s="3">
        <v>15.9</v>
      </c>
      <c r="AL6" s="3">
        <v>3.03</v>
      </c>
      <c r="AM6" s="3"/>
      <c r="AN6" s="3">
        <v>36.14</v>
      </c>
      <c r="AO6" s="3">
        <v>21.25</v>
      </c>
      <c r="AP6" s="3">
        <v>144.38</v>
      </c>
      <c r="AQ6" s="3">
        <v>0.31</v>
      </c>
      <c r="AR6" s="3"/>
      <c r="AS6" s="3"/>
      <c r="AT6" s="5" t="s">
        <v>125</v>
      </c>
      <c r="AU6" s="3" t="s">
        <v>331</v>
      </c>
      <c r="AV6" s="3" t="s">
        <v>127</v>
      </c>
      <c r="AW6" s="3">
        <v>50</v>
      </c>
      <c r="AX6" s="3" t="s">
        <v>128</v>
      </c>
      <c r="AY6" s="3" t="s">
        <v>310</v>
      </c>
      <c r="AZ6" s="3" t="s">
        <v>295</v>
      </c>
      <c r="BA6" s="3"/>
      <c r="BB6" s="3"/>
      <c r="BC6" s="3" t="s">
        <v>131</v>
      </c>
      <c r="BD6" s="3" t="s">
        <v>243</v>
      </c>
      <c r="BE6" s="3" t="s">
        <v>133</v>
      </c>
      <c r="BF6" s="3"/>
      <c r="BG6" s="3"/>
      <c r="BH6" s="3">
        <v>10</v>
      </c>
      <c r="BI6" s="3">
        <v>0</v>
      </c>
      <c r="BJ6" s="3">
        <v>1.82</v>
      </c>
      <c r="BK6" s="3">
        <v>12.5</v>
      </c>
      <c r="BL6" s="3">
        <v>1087.797922183744</v>
      </c>
      <c r="BM6" s="3">
        <v>8912.202077816255</v>
      </c>
      <c r="BN6" s="5">
        <v>2026</v>
      </c>
      <c r="BO6" s="3" t="s">
        <v>134</v>
      </c>
      <c r="BP6" s="3" t="s">
        <v>135</v>
      </c>
      <c r="BQ6" s="3" t="s">
        <v>296</v>
      </c>
      <c r="BR6" s="3" t="s">
        <v>191</v>
      </c>
      <c r="BS6" s="3" t="s">
        <v>321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322</v>
      </c>
      <c r="BY6" s="3" t="s">
        <v>323</v>
      </c>
    </row>
    <row r="7" spans="1:77">
      <c r="A7" s="3" t="s">
        <v>332</v>
      </c>
      <c r="B7" s="4">
        <v>46157.416666666664</v>
      </c>
      <c r="C7" s="5">
        <f>(T_ING26_LAB011[[#This Row],[fecha_hora]]-B6)*24+C6</f>
        <v>66.999999999941792</v>
      </c>
      <c r="D7" s="5">
        <v>15</v>
      </c>
      <c r="E7" s="5">
        <v>1056.2</v>
      </c>
      <c r="F7" s="5">
        <v>45.81</v>
      </c>
      <c r="G7" s="5"/>
      <c r="H7" s="5">
        <v>53.99</v>
      </c>
      <c r="I7" s="5">
        <v>79.009999999999991</v>
      </c>
      <c r="J7" s="5">
        <v>63</v>
      </c>
      <c r="K7" s="5">
        <v>67</v>
      </c>
      <c r="L7" s="5">
        <v>117.94</v>
      </c>
      <c r="M7" s="5">
        <v>2.34</v>
      </c>
      <c r="N7" s="5">
        <v>40</v>
      </c>
      <c r="O7" s="3"/>
      <c r="P7" s="5"/>
      <c r="Q7" s="5">
        <v>2.4500000000000002</v>
      </c>
      <c r="R7" s="3"/>
      <c r="S7" s="3"/>
      <c r="T7" s="3"/>
      <c r="U7" s="3"/>
      <c r="V7" s="3"/>
      <c r="W7" s="3"/>
      <c r="X7" s="3"/>
      <c r="Y7" s="3"/>
      <c r="Z7" s="3"/>
      <c r="AA7" s="3" t="s">
        <v>41</v>
      </c>
      <c r="AB7" s="3">
        <v>46157.416666666664</v>
      </c>
      <c r="AC7" s="3" t="s">
        <v>239</v>
      </c>
      <c r="AD7" s="3" t="s">
        <v>29</v>
      </c>
      <c r="AE7" s="5" t="s">
        <v>176</v>
      </c>
      <c r="AF7" s="5" t="s">
        <v>326</v>
      </c>
      <c r="AG7" s="3"/>
      <c r="AH7" s="3" t="s">
        <v>333</v>
      </c>
      <c r="AI7" s="3">
        <v>72</v>
      </c>
      <c r="AJ7" s="3" t="s">
        <v>163</v>
      </c>
      <c r="AK7" s="3">
        <v>14.3</v>
      </c>
      <c r="AL7" s="3">
        <v>3.05</v>
      </c>
      <c r="AM7" s="3"/>
      <c r="AN7" s="3">
        <v>46.24</v>
      </c>
      <c r="AO7" s="3">
        <v>23.34</v>
      </c>
      <c r="AP7" s="3">
        <v>133</v>
      </c>
      <c r="AQ7" s="3">
        <v>0.23</v>
      </c>
      <c r="AR7" s="3"/>
      <c r="AS7" s="3"/>
      <c r="AT7" s="5" t="s">
        <v>125</v>
      </c>
      <c r="AU7" s="3" t="s">
        <v>334</v>
      </c>
      <c r="AV7" s="3" t="s">
        <v>127</v>
      </c>
      <c r="AW7" s="3">
        <v>50</v>
      </c>
      <c r="AX7" s="3" t="s">
        <v>128</v>
      </c>
      <c r="AY7" s="3" t="s">
        <v>294</v>
      </c>
      <c r="AZ7" s="3" t="s">
        <v>295</v>
      </c>
      <c r="BA7" s="3"/>
      <c r="BB7" s="3"/>
      <c r="BC7" s="3" t="s">
        <v>250</v>
      </c>
      <c r="BD7" s="3" t="s">
        <v>243</v>
      </c>
      <c r="BE7" s="3" t="s">
        <v>244</v>
      </c>
      <c r="BF7" s="3"/>
      <c r="BG7" s="3"/>
      <c r="BH7" s="3">
        <v>10</v>
      </c>
      <c r="BI7" s="3">
        <v>0</v>
      </c>
      <c r="BJ7" s="3">
        <v>2.4500000000000002</v>
      </c>
      <c r="BK7" s="3">
        <v>12.5</v>
      </c>
      <c r="BL7" s="3">
        <v>1030.2409021014864</v>
      </c>
      <c r="BM7" s="3">
        <v>8969.7590978985136</v>
      </c>
      <c r="BN7" s="5">
        <v>2026</v>
      </c>
      <c r="BO7" s="3" t="s">
        <v>134</v>
      </c>
      <c r="BP7" s="3" t="s">
        <v>135</v>
      </c>
      <c r="BQ7" s="3" t="s">
        <v>296</v>
      </c>
      <c r="BR7" s="3" t="s">
        <v>191</v>
      </c>
      <c r="BS7" s="3" t="s">
        <v>321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322</v>
      </c>
      <c r="BY7" s="3" t="s">
        <v>323</v>
      </c>
    </row>
    <row r="8" spans="1:77">
      <c r="A8" s="3" t="s">
        <v>584</v>
      </c>
      <c r="B8" s="4">
        <v>46157.625</v>
      </c>
      <c r="C8" s="5">
        <f>(T_ING26_LAB011[[#This Row],[fecha_hora]]-B7)*24+C7</f>
        <v>72</v>
      </c>
      <c r="D8" s="5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335</v>
      </c>
      <c r="B9" s="4">
        <v>46160.416666666664</v>
      </c>
      <c r="C9" s="5">
        <f>(T_ING26_LAB011[[#This Row],[fecha_hora]]-B8)*24+C8</f>
        <v>138.99999999994179</v>
      </c>
      <c r="D9" s="5">
        <v>21</v>
      </c>
      <c r="E9" s="5">
        <v>997.4</v>
      </c>
      <c r="F9" s="5">
        <v>82.57</v>
      </c>
      <c r="G9" s="5"/>
      <c r="H9" s="5"/>
      <c r="I9" s="5"/>
      <c r="J9" s="5"/>
      <c r="K9" s="5"/>
      <c r="L9" s="5"/>
      <c r="M9" s="5"/>
      <c r="N9" s="5"/>
      <c r="O9" s="3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41</v>
      </c>
      <c r="AB9" s="3">
        <v>46160.416666666664</v>
      </c>
      <c r="AC9" s="3" t="s">
        <v>239</v>
      </c>
      <c r="AD9" s="3" t="s">
        <v>29</v>
      </c>
      <c r="AE9" s="5" t="s">
        <v>176</v>
      </c>
      <c r="AF9" s="5" t="s">
        <v>336</v>
      </c>
      <c r="AG9" s="3"/>
      <c r="AH9" s="3"/>
      <c r="AI9" s="3"/>
      <c r="AJ9" s="3"/>
      <c r="AK9" s="3">
        <v>0</v>
      </c>
      <c r="AL9" s="3">
        <v>3.07</v>
      </c>
      <c r="AM9" s="3"/>
      <c r="AN9" s="3">
        <v>83.18</v>
      </c>
      <c r="AO9" s="3">
        <v>17.73</v>
      </c>
      <c r="AP9" s="3"/>
      <c r="AQ9" s="3"/>
      <c r="AR9" s="3"/>
      <c r="AS9" s="3"/>
      <c r="AT9" s="5" t="s">
        <v>146</v>
      </c>
      <c r="AU9" s="3" t="s">
        <v>337</v>
      </c>
      <c r="AV9" s="3" t="s">
        <v>127</v>
      </c>
      <c r="AW9" s="3">
        <v>15</v>
      </c>
      <c r="AX9" s="3" t="s">
        <v>148</v>
      </c>
      <c r="AY9" s="3" t="s">
        <v>301</v>
      </c>
      <c r="AZ9" s="3" t="s">
        <v>295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296</v>
      </c>
      <c r="BR9" s="3" t="s">
        <v>191</v>
      </c>
      <c r="BS9" s="3" t="s">
        <v>321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322</v>
      </c>
      <c r="BY9" s="3" t="s">
        <v>323</v>
      </c>
    </row>
    <row r="10" spans="1:77">
      <c r="A10" s="3" t="s">
        <v>338</v>
      </c>
      <c r="B10" s="4">
        <v>46161.416666666664</v>
      </c>
      <c r="C10" s="5">
        <f>(T_ING26_LAB011[[#This Row],[fecha_hora]]-B9)*24+C9</f>
        <v>162.99999999994179</v>
      </c>
      <c r="D10" s="5">
        <v>21</v>
      </c>
      <c r="E10" s="5">
        <v>996.1</v>
      </c>
      <c r="F10" s="5">
        <v>95.7</v>
      </c>
      <c r="G10" s="5"/>
      <c r="H10" s="5">
        <v>0.02</v>
      </c>
      <c r="I10" s="5">
        <v>0.12000000000000001</v>
      </c>
      <c r="J10" s="5">
        <v>24</v>
      </c>
      <c r="K10" s="5">
        <v>2</v>
      </c>
      <c r="L10" s="5">
        <v>25.64</v>
      </c>
      <c r="M10" s="5">
        <v>5.75</v>
      </c>
      <c r="N10" s="5">
        <v>29</v>
      </c>
      <c r="O10" s="3"/>
      <c r="P10" s="5"/>
      <c r="Q10" s="5">
        <v>10.28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41</v>
      </c>
      <c r="AB10" s="3">
        <v>46161.416666666664</v>
      </c>
      <c r="AC10" s="3" t="s">
        <v>239</v>
      </c>
      <c r="AD10" s="3" t="s">
        <v>29</v>
      </c>
      <c r="AE10" s="5" t="s">
        <v>176</v>
      </c>
      <c r="AF10" s="5" t="s">
        <v>336</v>
      </c>
      <c r="AG10" s="3"/>
      <c r="AH10" s="3"/>
      <c r="AI10" s="3"/>
      <c r="AJ10" s="3"/>
      <c r="AK10" s="3">
        <v>-0.4</v>
      </c>
      <c r="AL10" s="3">
        <v>3.1</v>
      </c>
      <c r="AM10" s="3"/>
      <c r="AN10" s="3">
        <v>96.85</v>
      </c>
      <c r="AO10" s="3">
        <v>15.94</v>
      </c>
      <c r="AP10" s="3">
        <v>0.14000000000000001</v>
      </c>
      <c r="AQ10" s="3">
        <v>0.41</v>
      </c>
      <c r="AR10" s="3"/>
      <c r="AS10" s="3"/>
      <c r="AT10" s="5" t="s">
        <v>146</v>
      </c>
      <c r="AU10" s="3" t="s">
        <v>315</v>
      </c>
      <c r="AV10" s="3" t="s">
        <v>127</v>
      </c>
      <c r="AW10" s="3">
        <v>15</v>
      </c>
      <c r="AX10" s="3" t="s">
        <v>148</v>
      </c>
      <c r="AY10" s="3" t="s">
        <v>301</v>
      </c>
      <c r="AZ10" s="3" t="s">
        <v>295</v>
      </c>
      <c r="BA10" s="3"/>
      <c r="BB10" s="3"/>
      <c r="BC10" s="3"/>
      <c r="BD10" s="3"/>
      <c r="BE10" s="3"/>
      <c r="BF10" s="3"/>
      <c r="BG10" s="3"/>
      <c r="BH10" s="3">
        <v>10</v>
      </c>
      <c r="BI10" s="3">
        <v>0</v>
      </c>
      <c r="BJ10" s="3">
        <v>10.28</v>
      </c>
      <c r="BK10" s="3">
        <v>12.5</v>
      </c>
      <c r="BL10" s="3">
        <v>247.43646901471249</v>
      </c>
      <c r="BM10" s="3">
        <v>9752.5635309852878</v>
      </c>
      <c r="BN10" s="5">
        <v>2026</v>
      </c>
      <c r="BO10" s="3" t="s">
        <v>134</v>
      </c>
      <c r="BP10" s="3" t="s">
        <v>135</v>
      </c>
      <c r="BQ10" s="3" t="s">
        <v>296</v>
      </c>
      <c r="BR10" s="3" t="s">
        <v>191</v>
      </c>
      <c r="BS10" s="3" t="s">
        <v>321</v>
      </c>
      <c r="BT10" s="3" t="s">
        <v>213</v>
      </c>
      <c r="BU10" s="3" t="s">
        <v>140</v>
      </c>
      <c r="BV10" s="3" t="s">
        <v>141</v>
      </c>
      <c r="BW10" s="3">
        <v>2</v>
      </c>
      <c r="BX10" s="3" t="s">
        <v>322</v>
      </c>
      <c r="BY10" s="3" t="s">
        <v>323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Y10"/>
  <sheetViews>
    <sheetView topLeftCell="AE1" workbookViewId="0">
      <selection activeCell="AN18" sqref="AN18"/>
    </sheetView>
  </sheetViews>
  <sheetFormatPr baseColWidth="10" defaultColWidth="9" defaultRowHeight="14.25"/>
  <cols>
    <col min="1" max="1" width="18.25" customWidth="1"/>
    <col min="2" max="2" width="15.75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339</v>
      </c>
      <c r="B2" s="4">
        <v>46154.625</v>
      </c>
      <c r="C2" s="5">
        <v>0</v>
      </c>
      <c r="D2" s="5">
        <v>15</v>
      </c>
      <c r="E2" s="5">
        <v>1066.5999999999999</v>
      </c>
      <c r="F2" s="5">
        <v>28.38</v>
      </c>
      <c r="G2" s="5"/>
      <c r="H2" s="5">
        <v>75</v>
      </c>
      <c r="I2" s="5">
        <v>79.88</v>
      </c>
      <c r="J2" s="5">
        <v>113</v>
      </c>
      <c r="K2" s="5">
        <v>133</v>
      </c>
      <c r="L2" s="5">
        <v>222.06</v>
      </c>
      <c r="M2" s="5">
        <v>1.27</v>
      </c>
      <c r="N2" s="5">
        <v>0</v>
      </c>
      <c r="O2" s="3"/>
      <c r="P2" s="5"/>
      <c r="Q2" s="5">
        <v>1.19</v>
      </c>
      <c r="R2" s="3"/>
      <c r="S2" s="3"/>
      <c r="T2" s="3"/>
      <c r="U2" s="3"/>
      <c r="V2" s="3"/>
      <c r="W2" s="3"/>
      <c r="X2" s="3"/>
      <c r="Y2" s="3"/>
      <c r="Z2" s="3"/>
      <c r="AA2" s="3" t="s">
        <v>42</v>
      </c>
      <c r="AB2" s="3" t="s">
        <v>291</v>
      </c>
      <c r="AC2" s="3" t="s">
        <v>187</v>
      </c>
      <c r="AD2" s="3" t="s">
        <v>29</v>
      </c>
      <c r="AE2" s="5" t="s">
        <v>176</v>
      </c>
      <c r="AF2" s="5" t="s">
        <v>340</v>
      </c>
      <c r="AG2" s="3"/>
      <c r="AH2" s="3" t="s">
        <v>341</v>
      </c>
      <c r="AI2" s="3">
        <v>0</v>
      </c>
      <c r="AJ2" s="3" t="s">
        <v>124</v>
      </c>
      <c r="AK2" s="3">
        <v>16.8</v>
      </c>
      <c r="AL2" s="3">
        <v>3.15</v>
      </c>
      <c r="AM2" s="7"/>
      <c r="AN2" s="3">
        <v>32.409999999999997</v>
      </c>
      <c r="AO2" s="3">
        <v>13.98</v>
      </c>
      <c r="AP2" s="3">
        <v>154.88</v>
      </c>
      <c r="AQ2" s="3">
        <v>0.18</v>
      </c>
      <c r="AR2" s="3"/>
      <c r="AS2" s="3"/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294</v>
      </c>
      <c r="AZ2" s="3" t="s">
        <v>295</v>
      </c>
      <c r="BA2" s="3"/>
      <c r="BB2" s="3"/>
      <c r="BC2" s="3" t="s">
        <v>250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1.19</v>
      </c>
      <c r="BK2" s="3">
        <v>12.5</v>
      </c>
      <c r="BL2" s="3">
        <v>1144.6209897783624</v>
      </c>
      <c r="BM2" s="3">
        <v>8855.3790102216371</v>
      </c>
      <c r="BN2" s="5">
        <v>2026</v>
      </c>
      <c r="BO2" s="3" t="s">
        <v>134</v>
      </c>
      <c r="BP2" s="3" t="s">
        <v>135</v>
      </c>
      <c r="BQ2" s="3" t="s">
        <v>296</v>
      </c>
      <c r="BR2" s="3" t="s">
        <v>211</v>
      </c>
      <c r="BS2" s="3" t="s">
        <v>342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343</v>
      </c>
      <c r="BY2" s="3" t="s">
        <v>344</v>
      </c>
    </row>
    <row r="3" spans="1:77">
      <c r="A3" s="3" t="s">
        <v>345</v>
      </c>
      <c r="B3" s="4">
        <v>46155.416666666664</v>
      </c>
      <c r="C3" s="5">
        <v>18.999999999941792</v>
      </c>
      <c r="D3" s="5">
        <v>15</v>
      </c>
      <c r="E3" s="5">
        <v>1066.8</v>
      </c>
      <c r="F3" s="5">
        <v>31.91</v>
      </c>
      <c r="G3" s="5"/>
      <c r="H3" s="5"/>
      <c r="I3" s="5"/>
      <c r="J3" s="5"/>
      <c r="K3" s="5"/>
      <c r="L3" s="5"/>
      <c r="M3" s="5"/>
      <c r="N3" s="5"/>
      <c r="O3" s="3"/>
      <c r="P3" s="5"/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42</v>
      </c>
      <c r="AB3" s="3">
        <v>46155.416666666664</v>
      </c>
      <c r="AC3" s="3" t="s">
        <v>239</v>
      </c>
      <c r="AD3" s="3" t="s">
        <v>29</v>
      </c>
      <c r="AE3" s="5" t="s">
        <v>176</v>
      </c>
      <c r="AF3" s="5" t="s">
        <v>340</v>
      </c>
      <c r="AG3" s="3"/>
      <c r="AH3" s="3"/>
      <c r="AI3" s="3"/>
      <c r="AJ3" s="3"/>
      <c r="AK3" s="3">
        <v>16.7</v>
      </c>
      <c r="AL3" s="3">
        <v>3.14</v>
      </c>
      <c r="AM3" s="3"/>
      <c r="AN3" s="3">
        <v>32.4</v>
      </c>
      <c r="AO3" s="3">
        <v>20.04</v>
      </c>
      <c r="AP3" s="3"/>
      <c r="AQ3" s="3"/>
      <c r="AR3" s="3"/>
      <c r="AS3" s="3"/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301</v>
      </c>
      <c r="AZ3" s="3" t="s">
        <v>295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296</v>
      </c>
      <c r="BR3" s="3" t="s">
        <v>211</v>
      </c>
      <c r="BS3" s="3" t="s">
        <v>342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343</v>
      </c>
      <c r="BY3" s="3" t="s">
        <v>344</v>
      </c>
    </row>
    <row r="4" spans="1:77">
      <c r="A4" s="3" t="s">
        <v>350</v>
      </c>
      <c r="B4" s="4">
        <v>46155.625</v>
      </c>
      <c r="C4" s="5">
        <v>24</v>
      </c>
      <c r="D4" s="5">
        <v>18</v>
      </c>
      <c r="E4" s="5">
        <v>1066.2</v>
      </c>
      <c r="F4" s="5">
        <v>32.6</v>
      </c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42</v>
      </c>
      <c r="AB4" s="3" t="s">
        <v>308</v>
      </c>
      <c r="AC4" s="3" t="s">
        <v>187</v>
      </c>
      <c r="AD4" s="3" t="s">
        <v>29</v>
      </c>
      <c r="AE4" s="5" t="s">
        <v>176</v>
      </c>
      <c r="AF4" s="5" t="s">
        <v>349</v>
      </c>
      <c r="AG4" s="3"/>
      <c r="AH4" s="3"/>
      <c r="AI4" s="3"/>
      <c r="AJ4" s="3"/>
      <c r="AK4" s="3">
        <v>16.7</v>
      </c>
      <c r="AL4" s="3">
        <v>3.16</v>
      </c>
      <c r="AM4" s="3"/>
      <c r="AN4" s="3">
        <v>32.950000000000003</v>
      </c>
      <c r="AO4" s="3">
        <v>19</v>
      </c>
      <c r="AP4" s="3"/>
      <c r="AQ4" s="3"/>
      <c r="AR4" s="3"/>
      <c r="AS4" s="3"/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301</v>
      </c>
      <c r="AZ4" s="3" t="s">
        <v>295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296</v>
      </c>
      <c r="BR4" s="3" t="s">
        <v>211</v>
      </c>
      <c r="BS4" s="3" t="s">
        <v>342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343</v>
      </c>
      <c r="BY4" s="3" t="s">
        <v>344</v>
      </c>
    </row>
    <row r="5" spans="1:77">
      <c r="A5" s="3" t="s">
        <v>346</v>
      </c>
      <c r="B5" s="4">
        <v>46156.416666666664</v>
      </c>
      <c r="C5" s="5">
        <v>42.999999999941792</v>
      </c>
      <c r="D5" s="5">
        <v>15</v>
      </c>
      <c r="E5" s="5">
        <v>1065.5999999999999</v>
      </c>
      <c r="F5" s="5">
        <v>39.82</v>
      </c>
      <c r="G5" s="5"/>
      <c r="H5" s="5"/>
      <c r="I5" s="5"/>
      <c r="J5" s="5"/>
      <c r="K5" s="5"/>
      <c r="L5" s="5"/>
      <c r="M5" s="5"/>
      <c r="N5" s="5"/>
      <c r="O5" s="3"/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42</v>
      </c>
      <c r="AB5" s="3">
        <v>46156.416666666664</v>
      </c>
      <c r="AC5" s="3" t="s">
        <v>239</v>
      </c>
      <c r="AD5" s="3" t="s">
        <v>29</v>
      </c>
      <c r="AE5" s="5" t="s">
        <v>176</v>
      </c>
      <c r="AF5" s="5" t="s">
        <v>340</v>
      </c>
      <c r="AG5" s="3"/>
      <c r="AH5" s="3"/>
      <c r="AI5" s="3"/>
      <c r="AJ5" s="3"/>
      <c r="AK5" s="3">
        <v>16.399999999999999</v>
      </c>
      <c r="AL5" s="3">
        <v>3.17</v>
      </c>
      <c r="AM5" s="3"/>
      <c r="AN5" s="3">
        <v>39.94</v>
      </c>
      <c r="AO5" s="3">
        <v>22.12</v>
      </c>
      <c r="AP5" s="3"/>
      <c r="AQ5" s="3"/>
      <c r="AR5" s="3"/>
      <c r="AS5" s="3"/>
      <c r="AT5" s="5" t="s">
        <v>146</v>
      </c>
      <c r="AU5" s="3" t="s">
        <v>158</v>
      </c>
      <c r="AV5" s="3" t="s">
        <v>127</v>
      </c>
      <c r="AW5" s="3">
        <v>15</v>
      </c>
      <c r="AX5" s="3" t="s">
        <v>148</v>
      </c>
      <c r="AY5" s="3" t="s">
        <v>301</v>
      </c>
      <c r="AZ5" s="3" t="s">
        <v>295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296</v>
      </c>
      <c r="BR5" s="3" t="s">
        <v>211</v>
      </c>
      <c r="BS5" s="3" t="s">
        <v>342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343</v>
      </c>
      <c r="BY5" s="3" t="s">
        <v>344</v>
      </c>
    </row>
    <row r="6" spans="1:77">
      <c r="A6" s="3" t="s">
        <v>347</v>
      </c>
      <c r="B6" s="4">
        <v>46156.625</v>
      </c>
      <c r="C6" s="5">
        <v>48</v>
      </c>
      <c r="D6" s="5">
        <v>15</v>
      </c>
      <c r="E6" s="5">
        <v>1065.4000000000001</v>
      </c>
      <c r="F6" s="5">
        <v>39.130000000000003</v>
      </c>
      <c r="G6" s="5"/>
      <c r="H6" s="5">
        <v>63.23</v>
      </c>
      <c r="I6" s="5">
        <v>81.06</v>
      </c>
      <c r="J6" s="5">
        <v>166</v>
      </c>
      <c r="K6" s="5">
        <v>136</v>
      </c>
      <c r="L6" s="5">
        <v>277.52</v>
      </c>
      <c r="M6" s="5">
        <v>1.74</v>
      </c>
      <c r="N6" s="5">
        <v>35</v>
      </c>
      <c r="O6" s="3"/>
      <c r="P6" s="5"/>
      <c r="Q6" s="5">
        <v>1.52</v>
      </c>
      <c r="R6" s="3"/>
      <c r="S6" s="3"/>
      <c r="T6" s="3"/>
      <c r="U6" s="3"/>
      <c r="V6" s="3"/>
      <c r="W6" s="3"/>
      <c r="X6" s="3"/>
      <c r="Y6" s="3"/>
      <c r="Z6" s="3"/>
      <c r="AA6" s="3" t="s">
        <v>42</v>
      </c>
      <c r="AB6" s="3" t="s">
        <v>328</v>
      </c>
      <c r="AC6" s="3" t="s">
        <v>187</v>
      </c>
      <c r="AD6" s="3" t="s">
        <v>29</v>
      </c>
      <c r="AE6" s="5" t="s">
        <v>176</v>
      </c>
      <c r="AF6" s="5" t="s">
        <v>340</v>
      </c>
      <c r="AG6" s="3"/>
      <c r="AH6" s="3"/>
      <c r="AI6" s="3"/>
      <c r="AJ6" s="3"/>
      <c r="AK6" s="3">
        <v>16.5</v>
      </c>
      <c r="AL6" s="3">
        <v>3.16</v>
      </c>
      <c r="AM6" s="3"/>
      <c r="AN6" s="3">
        <v>39.32</v>
      </c>
      <c r="AO6" s="3">
        <v>21.68</v>
      </c>
      <c r="AP6" s="3">
        <v>144.29</v>
      </c>
      <c r="AQ6" s="3">
        <v>0.27</v>
      </c>
      <c r="AR6" s="3"/>
      <c r="AS6" s="3"/>
      <c r="AT6" s="5" t="s">
        <v>125</v>
      </c>
      <c r="AU6" s="3" t="s">
        <v>329</v>
      </c>
      <c r="AV6" s="3" t="s">
        <v>127</v>
      </c>
      <c r="AW6" s="3">
        <v>50</v>
      </c>
      <c r="AX6" s="3" t="s">
        <v>128</v>
      </c>
      <c r="AY6" s="3" t="s">
        <v>294</v>
      </c>
      <c r="AZ6" s="3" t="s">
        <v>295</v>
      </c>
      <c r="BA6" s="3"/>
      <c r="BB6" s="3"/>
      <c r="BC6" s="3" t="s">
        <v>250</v>
      </c>
      <c r="BD6" s="3" t="s">
        <v>243</v>
      </c>
      <c r="BE6" s="3" t="s">
        <v>244</v>
      </c>
      <c r="BF6" s="3"/>
      <c r="BG6" s="3"/>
      <c r="BH6" s="3">
        <v>10</v>
      </c>
      <c r="BI6" s="3">
        <v>0</v>
      </c>
      <c r="BJ6" s="3">
        <v>1.52</v>
      </c>
      <c r="BK6" s="3">
        <v>12.5</v>
      </c>
      <c r="BL6" s="3">
        <v>1114.9471974004873</v>
      </c>
      <c r="BM6" s="3">
        <v>8885.0528025995118</v>
      </c>
      <c r="BN6" s="5">
        <v>2026</v>
      </c>
      <c r="BO6" s="3" t="s">
        <v>134</v>
      </c>
      <c r="BP6" s="3" t="s">
        <v>135</v>
      </c>
      <c r="BQ6" s="3" t="s">
        <v>296</v>
      </c>
      <c r="BR6" s="3" t="s">
        <v>211</v>
      </c>
      <c r="BS6" s="3" t="s">
        <v>342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343</v>
      </c>
      <c r="BY6" s="3" t="s">
        <v>344</v>
      </c>
    </row>
    <row r="7" spans="1:77">
      <c r="A7" s="3" t="s">
        <v>348</v>
      </c>
      <c r="B7" s="4">
        <v>46157.416666666664</v>
      </c>
      <c r="C7" s="5">
        <v>66.999999999941792</v>
      </c>
      <c r="D7" s="5">
        <v>18</v>
      </c>
      <c r="E7" s="5">
        <v>1059.2</v>
      </c>
      <c r="F7" s="5">
        <v>49.88</v>
      </c>
      <c r="G7" s="5"/>
      <c r="H7" s="5">
        <v>55.44</v>
      </c>
      <c r="I7" s="5">
        <v>77.59</v>
      </c>
      <c r="J7" s="5">
        <v>153</v>
      </c>
      <c r="K7" s="5">
        <v>99</v>
      </c>
      <c r="L7" s="5">
        <v>234.18</v>
      </c>
      <c r="M7" s="5">
        <v>2.16</v>
      </c>
      <c r="N7" s="5">
        <v>43</v>
      </c>
      <c r="O7" s="3"/>
      <c r="P7" s="5"/>
      <c r="Q7" s="5">
        <v>2.2200000000000002</v>
      </c>
      <c r="R7" s="3"/>
      <c r="S7" s="3"/>
      <c r="T7" s="3"/>
      <c r="U7" s="3"/>
      <c r="V7" s="3"/>
      <c r="W7" s="3"/>
      <c r="X7" s="3"/>
      <c r="Y7" s="3"/>
      <c r="Z7" s="3"/>
      <c r="AA7" s="3" t="s">
        <v>42</v>
      </c>
      <c r="AB7" s="3">
        <v>46157.416666666664</v>
      </c>
      <c r="AC7" s="3" t="s">
        <v>239</v>
      </c>
      <c r="AD7" s="3" t="s">
        <v>29</v>
      </c>
      <c r="AE7" s="5" t="s">
        <v>176</v>
      </c>
      <c r="AF7" s="5" t="s">
        <v>349</v>
      </c>
      <c r="AG7" s="3"/>
      <c r="AH7" s="3"/>
      <c r="AI7" s="3"/>
      <c r="AJ7" s="3"/>
      <c r="AK7" s="3">
        <v>15.1</v>
      </c>
      <c r="AL7" s="3">
        <v>3.12</v>
      </c>
      <c r="AM7" s="3"/>
      <c r="AN7" s="3">
        <v>50.65</v>
      </c>
      <c r="AO7" s="3">
        <v>23.88</v>
      </c>
      <c r="AP7" s="3">
        <v>133.03</v>
      </c>
      <c r="AQ7" s="3">
        <v>0.24</v>
      </c>
      <c r="AR7" s="3"/>
      <c r="AS7" s="3"/>
      <c r="AT7" s="5" t="s">
        <v>146</v>
      </c>
      <c r="AU7" s="3" t="s">
        <v>178</v>
      </c>
      <c r="AV7" s="3" t="s">
        <v>127</v>
      </c>
      <c r="AW7" s="3">
        <v>15</v>
      </c>
      <c r="AX7" s="3" t="s">
        <v>148</v>
      </c>
      <c r="AY7" s="3" t="s">
        <v>301</v>
      </c>
      <c r="AZ7" s="3" t="s">
        <v>295</v>
      </c>
      <c r="BA7" s="3"/>
      <c r="BB7" s="3"/>
      <c r="BC7" s="3"/>
      <c r="BD7" s="3"/>
      <c r="BE7" s="3"/>
      <c r="BF7" s="3"/>
      <c r="BG7" s="3"/>
      <c r="BH7" s="3">
        <v>10</v>
      </c>
      <c r="BI7" s="3">
        <v>0</v>
      </c>
      <c r="BJ7" s="3">
        <v>2.2200000000000002</v>
      </c>
      <c r="BK7" s="3">
        <v>12.5</v>
      </c>
      <c r="BL7" s="3">
        <v>1051.3397422785847</v>
      </c>
      <c r="BM7" s="3">
        <v>8948.6602577214144</v>
      </c>
      <c r="BN7" s="5">
        <v>2026</v>
      </c>
      <c r="BO7" s="3" t="s">
        <v>134</v>
      </c>
      <c r="BP7" s="3" t="s">
        <v>135</v>
      </c>
      <c r="BQ7" s="3" t="s">
        <v>296</v>
      </c>
      <c r="BR7" s="3" t="s">
        <v>211</v>
      </c>
      <c r="BS7" s="3" t="s">
        <v>342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343</v>
      </c>
      <c r="BY7" s="3" t="s">
        <v>344</v>
      </c>
    </row>
    <row r="8" spans="1:77">
      <c r="A8" s="3" t="s">
        <v>585</v>
      </c>
      <c r="B8" s="4">
        <v>46157.625</v>
      </c>
      <c r="C8" s="5">
        <v>72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351</v>
      </c>
      <c r="B9" s="4">
        <v>46160.416666666664</v>
      </c>
      <c r="C9" s="5">
        <v>138.99999999994179</v>
      </c>
      <c r="D9" s="5">
        <v>21</v>
      </c>
      <c r="E9" s="5">
        <v>1001.7</v>
      </c>
      <c r="F9" s="5">
        <v>97.08</v>
      </c>
      <c r="G9" s="5"/>
      <c r="H9" s="5"/>
      <c r="I9" s="5"/>
      <c r="J9" s="5"/>
      <c r="K9" s="5"/>
      <c r="L9" s="5"/>
      <c r="M9" s="5"/>
      <c r="N9" s="5"/>
      <c r="O9" s="3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42</v>
      </c>
      <c r="AB9" s="3">
        <v>46160.416666666664</v>
      </c>
      <c r="AC9" s="3" t="s">
        <v>239</v>
      </c>
      <c r="AD9" s="3" t="s">
        <v>29</v>
      </c>
      <c r="AE9" s="5" t="s">
        <v>176</v>
      </c>
      <c r="AF9" s="5" t="s">
        <v>352</v>
      </c>
      <c r="AG9" s="3"/>
      <c r="AH9" s="3" t="s">
        <v>353</v>
      </c>
      <c r="AI9" s="3">
        <v>84</v>
      </c>
      <c r="AJ9" s="3" t="s">
        <v>163</v>
      </c>
      <c r="AK9" s="3">
        <v>1.1000000000000001</v>
      </c>
      <c r="AL9" s="3">
        <v>3.09</v>
      </c>
      <c r="AM9" s="3"/>
      <c r="AN9" s="3">
        <v>97.77</v>
      </c>
      <c r="AO9" s="3">
        <v>12.88</v>
      </c>
      <c r="AP9" s="3"/>
      <c r="AQ9" s="3"/>
      <c r="AR9" s="3"/>
      <c r="AS9" s="3"/>
      <c r="AT9" s="5" t="s">
        <v>125</v>
      </c>
      <c r="AU9" s="3" t="s">
        <v>163</v>
      </c>
      <c r="AV9" s="3" t="s">
        <v>127</v>
      </c>
      <c r="AW9" s="3">
        <v>50</v>
      </c>
      <c r="AX9" s="3" t="s">
        <v>128</v>
      </c>
      <c r="AY9" s="3" t="s">
        <v>310</v>
      </c>
      <c r="AZ9" s="3" t="s">
        <v>295</v>
      </c>
      <c r="BA9" s="3"/>
      <c r="BB9" s="3"/>
      <c r="BC9" s="3" t="s">
        <v>131</v>
      </c>
      <c r="BD9" s="3" t="s">
        <v>243</v>
      </c>
      <c r="BE9" s="3" t="s">
        <v>133</v>
      </c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296</v>
      </c>
      <c r="BR9" s="3" t="s">
        <v>211</v>
      </c>
      <c r="BS9" s="3" t="s">
        <v>342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343</v>
      </c>
      <c r="BY9" s="3" t="s">
        <v>344</v>
      </c>
    </row>
    <row r="10" spans="1:77">
      <c r="A10" s="3" t="s">
        <v>354</v>
      </c>
      <c r="B10" s="4">
        <v>46161.416666666664</v>
      </c>
      <c r="C10" s="5">
        <v>162.99999999994179</v>
      </c>
      <c r="D10" s="5">
        <v>21</v>
      </c>
      <c r="E10" s="5">
        <v>997.4</v>
      </c>
      <c r="F10" s="5">
        <v>103.61</v>
      </c>
      <c r="G10" s="5"/>
      <c r="H10" s="5">
        <v>0</v>
      </c>
      <c r="I10" s="5">
        <v>0.09</v>
      </c>
      <c r="J10" s="5">
        <v>114</v>
      </c>
      <c r="K10" s="5">
        <v>14</v>
      </c>
      <c r="L10" s="5">
        <v>125.48</v>
      </c>
      <c r="M10" s="5">
        <v>5.68</v>
      </c>
      <c r="N10" s="5">
        <v>32</v>
      </c>
      <c r="O10" s="3"/>
      <c r="P10" s="5"/>
      <c r="Q10" s="5">
        <v>10.27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42</v>
      </c>
      <c r="AB10" s="3">
        <v>46161.416666666664</v>
      </c>
      <c r="AC10" s="3" t="s">
        <v>239</v>
      </c>
      <c r="AD10" s="3" t="s">
        <v>29</v>
      </c>
      <c r="AE10" s="5" t="s">
        <v>176</v>
      </c>
      <c r="AF10" s="5" t="s">
        <v>352</v>
      </c>
      <c r="AG10" s="3"/>
      <c r="AH10" s="3"/>
      <c r="AI10" s="3"/>
      <c r="AJ10" s="3"/>
      <c r="AK10" s="3">
        <v>-0.1</v>
      </c>
      <c r="AL10" s="3">
        <v>3.16</v>
      </c>
      <c r="AM10" s="3"/>
      <c r="AN10" s="3">
        <v>103.76</v>
      </c>
      <c r="AO10" s="3">
        <v>16.21</v>
      </c>
      <c r="AP10" s="3">
        <v>0.09</v>
      </c>
      <c r="AQ10" s="3">
        <v>0.42</v>
      </c>
      <c r="AR10" s="3"/>
      <c r="AS10" s="3"/>
      <c r="AT10" s="5" t="s">
        <v>125</v>
      </c>
      <c r="AU10" s="3" t="s">
        <v>355</v>
      </c>
      <c r="AV10" s="3" t="s">
        <v>127</v>
      </c>
      <c r="AW10" s="3">
        <v>50</v>
      </c>
      <c r="AX10" s="3" t="s">
        <v>128</v>
      </c>
      <c r="AY10" s="3" t="s">
        <v>294</v>
      </c>
      <c r="AZ10" s="3" t="s">
        <v>295</v>
      </c>
      <c r="BA10" s="3"/>
      <c r="BB10" s="3"/>
      <c r="BC10" s="3" t="s">
        <v>250</v>
      </c>
      <c r="BD10" s="3" t="s">
        <v>243</v>
      </c>
      <c r="BE10" s="3" t="s">
        <v>244</v>
      </c>
      <c r="BF10" s="3"/>
      <c r="BG10" s="3"/>
      <c r="BH10" s="3">
        <v>10</v>
      </c>
      <c r="BI10" s="3">
        <v>0</v>
      </c>
      <c r="BJ10" s="3">
        <v>10.27</v>
      </c>
      <c r="BK10" s="3">
        <v>12.5</v>
      </c>
      <c r="BL10" s="3">
        <v>248.5233478212416</v>
      </c>
      <c r="BM10" s="3">
        <v>9751.4766521787587</v>
      </c>
      <c r="BN10" s="5">
        <v>2026</v>
      </c>
      <c r="BO10" s="3" t="s">
        <v>134</v>
      </c>
      <c r="BP10" s="3" t="s">
        <v>135</v>
      </c>
      <c r="BQ10" s="3" t="s">
        <v>296</v>
      </c>
      <c r="BR10" s="3" t="s">
        <v>211</v>
      </c>
      <c r="BS10" s="3" t="s">
        <v>342</v>
      </c>
      <c r="BT10" s="3" t="s">
        <v>213</v>
      </c>
      <c r="BU10" s="3" t="s">
        <v>140</v>
      </c>
      <c r="BV10" s="3" t="s">
        <v>141</v>
      </c>
      <c r="BW10" s="3">
        <v>2</v>
      </c>
      <c r="BX10" s="3" t="s">
        <v>343</v>
      </c>
      <c r="BY10" s="3" t="s">
        <v>344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/>
  </sheetViews>
  <sheetFormatPr baseColWidth="10" defaultColWidth="9" defaultRowHeight="14.25"/>
  <cols>
    <col min="1" max="4" width="13" customWidth="1"/>
    <col min="5" max="6" width="32" customWidth="1"/>
  </cols>
  <sheetData>
    <row r="1" spans="1:6" ht="32.1" customHeight="1">
      <c r="A1" s="1" t="s">
        <v>19</v>
      </c>
      <c r="B1" s="1" t="s">
        <v>356</v>
      </c>
      <c r="C1" s="1" t="s">
        <v>46</v>
      </c>
      <c r="D1" s="1" t="s">
        <v>357</v>
      </c>
      <c r="E1" s="1" t="s">
        <v>358</v>
      </c>
      <c r="F1" s="1" t="s">
        <v>70</v>
      </c>
    </row>
    <row r="2" spans="1:6">
      <c r="A2" s="3" t="s">
        <v>28</v>
      </c>
      <c r="B2" s="5">
        <v>0</v>
      </c>
      <c r="C2" s="5">
        <v>18</v>
      </c>
      <c r="D2" s="3" t="s">
        <v>122</v>
      </c>
      <c r="E2" s="3" t="s">
        <v>121</v>
      </c>
      <c r="F2" s="3" t="s">
        <v>29</v>
      </c>
    </row>
    <row r="3" spans="1:6">
      <c r="A3" s="3" t="s">
        <v>28</v>
      </c>
      <c r="B3" s="5">
        <v>99</v>
      </c>
      <c r="C3" s="5">
        <v>21</v>
      </c>
      <c r="D3" s="3" t="s">
        <v>177</v>
      </c>
      <c r="E3" s="3" t="s">
        <v>176</v>
      </c>
      <c r="F3" s="3" t="s">
        <v>29</v>
      </c>
    </row>
    <row r="4" spans="1:6">
      <c r="A4" s="3" t="s">
        <v>28</v>
      </c>
      <c r="B4" s="5">
        <v>171</v>
      </c>
      <c r="C4" s="5">
        <v>16</v>
      </c>
      <c r="D4" s="3" t="s">
        <v>359</v>
      </c>
      <c r="E4" s="3" t="s">
        <v>176</v>
      </c>
      <c r="F4" s="3" t="s">
        <v>29</v>
      </c>
    </row>
    <row r="5" spans="1:6">
      <c r="A5" s="3" t="s">
        <v>31</v>
      </c>
      <c r="B5" s="5">
        <v>0</v>
      </c>
      <c r="C5" s="5">
        <v>18</v>
      </c>
      <c r="D5" s="3" t="s">
        <v>122</v>
      </c>
      <c r="E5" s="3" t="s">
        <v>121</v>
      </c>
      <c r="F5" s="3" t="s">
        <v>29</v>
      </c>
    </row>
    <row r="6" spans="1:6">
      <c r="A6" s="3" t="s">
        <v>31</v>
      </c>
      <c r="B6" s="5">
        <v>99</v>
      </c>
      <c r="C6" s="5">
        <v>21</v>
      </c>
      <c r="D6" s="3" t="s">
        <v>204</v>
      </c>
      <c r="E6" s="3" t="s">
        <v>176</v>
      </c>
      <c r="F6" s="3" t="s">
        <v>29</v>
      </c>
    </row>
    <row r="7" spans="1:6">
      <c r="A7" s="3" t="s">
        <v>31</v>
      </c>
      <c r="B7" s="5">
        <v>171</v>
      </c>
      <c r="C7" s="5">
        <v>16</v>
      </c>
      <c r="D7" s="3" t="s">
        <v>360</v>
      </c>
      <c r="E7" s="3" t="s">
        <v>176</v>
      </c>
      <c r="F7" s="3" t="s">
        <v>29</v>
      </c>
    </row>
    <row r="8" spans="1:6">
      <c r="A8" s="3" t="s">
        <v>32</v>
      </c>
      <c r="B8" s="5">
        <v>0</v>
      </c>
      <c r="C8" s="5">
        <v>16</v>
      </c>
      <c r="D8" s="3" t="s">
        <v>209</v>
      </c>
      <c r="E8" s="3" t="s">
        <v>121</v>
      </c>
      <c r="F8" s="3" t="s">
        <v>29</v>
      </c>
    </row>
    <row r="9" spans="1:6">
      <c r="A9" s="3" t="s">
        <v>32</v>
      </c>
      <c r="B9" s="5">
        <v>123</v>
      </c>
      <c r="C9" s="5">
        <v>18</v>
      </c>
      <c r="D9" s="3" t="s">
        <v>228</v>
      </c>
      <c r="E9" s="3" t="s">
        <v>176</v>
      </c>
      <c r="F9" s="3" t="s">
        <v>29</v>
      </c>
    </row>
    <row r="10" spans="1:6">
      <c r="A10" s="3" t="s">
        <v>32</v>
      </c>
      <c r="B10" s="5">
        <v>219</v>
      </c>
      <c r="C10" s="5">
        <v>21</v>
      </c>
      <c r="D10" s="3" t="s">
        <v>361</v>
      </c>
      <c r="E10" s="3" t="s">
        <v>176</v>
      </c>
      <c r="F10" s="3" t="s">
        <v>29</v>
      </c>
    </row>
    <row r="11" spans="1:6">
      <c r="A11" s="3" t="s">
        <v>34</v>
      </c>
      <c r="B11" s="5">
        <v>0</v>
      </c>
      <c r="C11" s="5" t="n">
        <v>18.0</v>
      </c>
      <c r="D11" s="3" t="inlineStr">
        <is>
          <t>SP 18 C</t>
        </is>
      </c>
      <c r="E11" s="3" t="inlineStr">
        <is>
          <t>Log SP: Temp_F1_lab007.csv</t>
        </is>
      </c>
      <c r="F11" s="3" t="inlineStr">
        <is>
          <t>Primer muestreo LAB007: 2026-04-17 16:00:00</t>
        </is>
      </c>
    </row>
    <row r="12" spans="1:6">
      <c r="A12" s="3" t="s">
        <v>34</v>
      </c>
      <c r="B12" s="5" t="n">
        <v>92.00027777777778</v>
      </c>
      <c r="C12" s="5" t="n">
        <v>21.0</v>
      </c>
      <c r="D12" s="3" t="inlineStr">
        <is>
          <t>SP 21 C</t>
        </is>
      </c>
      <c r="E12" s="3" t="inlineStr">
        <is>
          <t>Log SP: Temp_F1_lab007.csv</t>
        </is>
      </c>
      <c r="F12" s="3" t="inlineStr">
        <is>
          <t>Primer muestreo LAB007: 2026-04-17 16:00:00</t>
        </is>
      </c>
    </row>
    <row r="13" spans="1:6">
      <c r="A13" s="3"/>
      <c r="B13" s="5"/>
      <c r="C13" s="5"/>
      <c r="D13" s="3"/>
      <c r="E13" s="3"/>
      <c r="F13" s="3"/>
    </row>
    <row r="14" spans="1:6">
      <c r="A14" s="3" t="s">
        <v>38</v>
      </c>
      <c r="B14" s="5">
        <v>0</v>
      </c>
      <c r="C14" s="5">
        <v>18</v>
      </c>
      <c r="D14" s="3" t="s">
        <v>122</v>
      </c>
      <c r="E14" s="3" t="s">
        <v>240</v>
      </c>
      <c r="F14" s="3" t="s">
        <v>35</v>
      </c>
    </row>
    <row r="15" spans="1:6">
      <c r="A15" s="3" t="s">
        <v>38</v>
      </c>
      <c r="B15" s="5">
        <v>96</v>
      </c>
      <c r="C15" s="5">
        <v>21</v>
      </c>
      <c r="D15" s="3" t="s">
        <v>270</v>
      </c>
      <c r="E15" s="3" t="s">
        <v>176</v>
      </c>
      <c r="F15" s="3" t="s">
        <v>35</v>
      </c>
    </row>
    <row r="16" spans="1:6">
      <c r="A16" s="3" t="s">
        <v>38</v>
      </c>
      <c r="B16" s="5">
        <v>168</v>
      </c>
      <c r="C16" s="5">
        <v>16</v>
      </c>
      <c r="D16" s="3" t="s">
        <v>363</v>
      </c>
      <c r="E16" s="3" t="s">
        <v>240</v>
      </c>
      <c r="F16" s="3" t="s">
        <v>35</v>
      </c>
    </row>
    <row r="17" spans="1:6">
      <c r="A17" s="3" t="s">
        <v>39</v>
      </c>
      <c r="B17" s="5">
        <v>0</v>
      </c>
      <c r="C17" s="5" t="n">
        <v>21.0</v>
      </c>
      <c r="D17" s="3" t="inlineStr">
        <is>
          <t>SP 21 C</t>
        </is>
      </c>
      <c r="E17" s="3" t="inlineStr">
        <is>
          <t>Log SP: Temp_F3_lab009.csv</t>
        </is>
      </c>
      <c r="F17" s="3" t="inlineStr">
        <is>
          <t>Primer muestreo LAB009: 2026-04-17 16:00:00</t>
        </is>
      </c>
    </row>
    <row r="18" spans="1:6">
      <c r="A18" s="3" t="s">
        <v>39</v>
      </c>
      <c r="B18" s="5" t="n">
        <v>68.00083333333333</v>
      </c>
      <c r="C18" s="5" t="n">
        <v>18.0</v>
      </c>
      <c r="D18" s="3" t="inlineStr">
        <is>
          <t>SP 18 C</t>
        </is>
      </c>
      <c r="E18" s="3" t="inlineStr">
        <is>
          <t>Log SP: Temp_F3_lab009.csv</t>
        </is>
      </c>
      <c r="F18" s="3" t="inlineStr">
        <is>
          <t>Primer muestreo LAB009: 2026-04-17 16:00:00</t>
        </is>
      </c>
    </row>
    <row r="19" spans="1:6">
      <c r="A19" s="3"/>
      <c r="B19" s="5"/>
      <c r="C19" s="5"/>
      <c r="D19" s="3"/>
      <c r="E19" s="3"/>
      <c r="F19" s="3"/>
    </row>
    <row r="20" spans="1:6">
      <c r="A20" s="3" t="s">
        <v>40</v>
      </c>
      <c r="B20" s="5">
        <v>0</v>
      </c>
      <c r="C20" s="5">
        <v>15</v>
      </c>
      <c r="D20" s="3" t="s">
        <v>292</v>
      </c>
      <c r="E20" s="3" t="s">
        <v>176</v>
      </c>
      <c r="F20" s="3" t="s">
        <v>29</v>
      </c>
    </row>
    <row r="21" spans="1:6">
      <c r="A21" s="3" t="s">
        <v>41</v>
      </c>
      <c r="B21" s="5">
        <v>0</v>
      </c>
      <c r="C21" s="5">
        <v>18</v>
      </c>
      <c r="D21" s="3" t="s">
        <v>319</v>
      </c>
      <c r="E21" s="3" t="s">
        <v>176</v>
      </c>
      <c r="F21" s="3" t="s">
        <v>29</v>
      </c>
    </row>
    <row r="22" spans="1:6">
      <c r="A22" s="3" t="s">
        <v>41</v>
      </c>
      <c r="B22" s="5">
        <v>24</v>
      </c>
      <c r="C22" s="5">
        <v>15</v>
      </c>
      <c r="D22" s="3" t="s">
        <v>326</v>
      </c>
      <c r="E22" s="3" t="s">
        <v>176</v>
      </c>
      <c r="F22" s="3" t="s">
        <v>29</v>
      </c>
    </row>
    <row r="23" spans="1:6">
      <c r="A23" s="3" t="s">
        <v>41</v>
      </c>
      <c r="B23" s="5">
        <v>72</v>
      </c>
      <c r="C23" s="5">
        <v>21</v>
      </c>
      <c r="D23" s="3" t="s">
        <v>336</v>
      </c>
      <c r="E23" s="3" t="s">
        <v>176</v>
      </c>
      <c r="F23" s="3" t="s">
        <v>29</v>
      </c>
    </row>
    <row r="24" spans="1:6">
      <c r="A24" s="3" t="s">
        <v>42</v>
      </c>
      <c r="B24" s="5">
        <v>0</v>
      </c>
      <c r="C24" s="5">
        <v>15</v>
      </c>
      <c r="D24" s="3" t="s">
        <v>340</v>
      </c>
      <c r="E24" s="3" t="s">
        <v>176</v>
      </c>
      <c r="F24" s="3" t="s">
        <v>29</v>
      </c>
    </row>
    <row r="25" spans="1:6">
      <c r="A25" s="3" t="s">
        <v>42</v>
      </c>
      <c r="B25" s="5">
        <v>60</v>
      </c>
      <c r="C25" s="5">
        <v>18</v>
      </c>
      <c r="D25" s="3" t="s">
        <v>349</v>
      </c>
      <c r="E25" s="3" t="s">
        <v>176</v>
      </c>
      <c r="F25" s="3" t="s">
        <v>29</v>
      </c>
    </row>
    <row r="26" spans="1:6">
      <c r="A26" s="3" t="s">
        <v>42</v>
      </c>
      <c r="B26" s="5">
        <v>96</v>
      </c>
      <c r="C26" s="5">
        <v>21</v>
      </c>
      <c r="D26" s="3" t="s">
        <v>352</v>
      </c>
      <c r="E26" s="3" t="s">
        <v>176</v>
      </c>
      <c r="F26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44"/>
  <sheetViews>
    <sheetView workbookViewId="0"/>
  </sheetViews>
  <sheetFormatPr baseColWidth="10" defaultColWidth="9" defaultRowHeight="14.25"/>
  <cols>
    <col min="1" max="10" width="13" customWidth="1"/>
    <col min="11" max="11" width="18" customWidth="1"/>
    <col min="12" max="14" width="13" customWidth="1"/>
    <col min="15" max="15" width="32" customWidth="1"/>
    <col min="16" max="17" width="18" customWidth="1"/>
    <col min="18" max="18" width="13" customWidth="1"/>
    <col min="19" max="19" width="32" customWidth="1"/>
  </cols>
  <sheetData>
    <row r="1" spans="1:19" ht="32.1" customHeight="1">
      <c r="A1" s="1" t="s">
        <v>364</v>
      </c>
      <c r="B1" s="1" t="s">
        <v>19</v>
      </c>
      <c r="C1" s="1" t="s">
        <v>108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69</v>
      </c>
    </row>
    <row r="2" spans="1:19">
      <c r="A2" s="3" t="s">
        <v>380</v>
      </c>
      <c r="B2" s="3" t="s">
        <v>28</v>
      </c>
      <c r="C2" s="3" t="s">
        <v>135</v>
      </c>
      <c r="D2" s="3">
        <v>46120</v>
      </c>
      <c r="E2" s="3">
        <v>0.41666666666666669</v>
      </c>
      <c r="F2" s="4">
        <v>46118.541666666664</v>
      </c>
      <c r="G2" s="5" t="s">
        <v>381</v>
      </c>
      <c r="H2" s="3" t="s">
        <v>382</v>
      </c>
      <c r="I2" s="3">
        <v>1</v>
      </c>
      <c r="J2" s="3" t="s">
        <v>383</v>
      </c>
      <c r="K2" s="3" t="s">
        <v>126</v>
      </c>
      <c r="L2" s="3" t="s">
        <v>384</v>
      </c>
      <c r="M2" s="3"/>
      <c r="N2" s="4"/>
      <c r="O2" s="3" t="s">
        <v>385</v>
      </c>
      <c r="P2" s="3" t="s">
        <v>28</v>
      </c>
      <c r="Q2" s="4">
        <v>46118.541666666664</v>
      </c>
      <c r="R2" s="5">
        <v>0</v>
      </c>
      <c r="S2" s="3" t="s">
        <v>239</v>
      </c>
    </row>
    <row r="3" spans="1:19">
      <c r="A3" s="3" t="s">
        <v>123</v>
      </c>
      <c r="B3" s="3" t="s">
        <v>28</v>
      </c>
      <c r="C3" s="3" t="s">
        <v>135</v>
      </c>
      <c r="D3" s="3">
        <v>46120</v>
      </c>
      <c r="E3" s="3">
        <v>0.41666666666666669</v>
      </c>
      <c r="F3" s="4">
        <v>46118.541666666664</v>
      </c>
      <c r="G3" s="5" t="s">
        <v>124</v>
      </c>
      <c r="H3" s="3" t="s">
        <v>386</v>
      </c>
      <c r="I3" s="3" t="s">
        <v>387</v>
      </c>
      <c r="J3" s="3" t="s">
        <v>383</v>
      </c>
      <c r="K3" s="3" t="s">
        <v>388</v>
      </c>
      <c r="L3" s="3" t="s">
        <v>384</v>
      </c>
      <c r="M3" s="3"/>
      <c r="N3" s="4"/>
      <c r="O3" s="3" t="s">
        <v>389</v>
      </c>
      <c r="P3" s="3" t="s">
        <v>28</v>
      </c>
      <c r="Q3" s="4">
        <v>46118.541666666664</v>
      </c>
      <c r="R3" s="5">
        <v>0</v>
      </c>
      <c r="S3" s="3" t="s">
        <v>239</v>
      </c>
    </row>
    <row r="4" spans="1:19">
      <c r="A4" s="3" t="s">
        <v>162</v>
      </c>
      <c r="B4" s="3" t="s">
        <v>28</v>
      </c>
      <c r="C4" s="3" t="s">
        <v>135</v>
      </c>
      <c r="D4" s="3">
        <v>46122</v>
      </c>
      <c r="E4" s="3">
        <v>0.41666666666666669</v>
      </c>
      <c r="F4" s="4">
        <v>46120.666666666664</v>
      </c>
      <c r="G4" s="5" t="s">
        <v>163</v>
      </c>
      <c r="H4" s="3" t="s">
        <v>386</v>
      </c>
      <c r="I4" s="3" t="s">
        <v>387</v>
      </c>
      <c r="J4" s="3" t="s">
        <v>383</v>
      </c>
      <c r="K4" s="3" t="s">
        <v>390</v>
      </c>
      <c r="L4" s="3" t="s">
        <v>384</v>
      </c>
      <c r="M4" s="3"/>
      <c r="N4" s="4"/>
      <c r="O4" s="3" t="s">
        <v>391</v>
      </c>
      <c r="P4" s="3" t="s">
        <v>28</v>
      </c>
      <c r="Q4" s="4">
        <v>46120.666666666664</v>
      </c>
      <c r="R4" s="5">
        <v>51</v>
      </c>
      <c r="S4" s="3" t="s">
        <v>239</v>
      </c>
    </row>
    <row r="5" spans="1:19">
      <c r="A5" s="3" t="s">
        <v>177</v>
      </c>
      <c r="B5" s="3" t="s">
        <v>28</v>
      </c>
      <c r="C5" s="3" t="s">
        <v>135</v>
      </c>
      <c r="D5" s="3">
        <v>46124</v>
      </c>
      <c r="E5" s="3">
        <v>0.41666666666666669</v>
      </c>
      <c r="F5" s="4">
        <v>46122.666666666664</v>
      </c>
      <c r="G5" s="5" t="s">
        <v>329</v>
      </c>
      <c r="H5" s="3" t="s">
        <v>392</v>
      </c>
      <c r="I5" s="3">
        <v>21</v>
      </c>
      <c r="J5" s="3" t="s">
        <v>393</v>
      </c>
      <c r="K5" s="3" t="s">
        <v>394</v>
      </c>
      <c r="L5" s="3" t="s">
        <v>384</v>
      </c>
      <c r="M5" s="3"/>
      <c r="N5" s="4"/>
      <c r="O5" s="3" t="s">
        <v>395</v>
      </c>
      <c r="P5" s="3" t="s">
        <v>28</v>
      </c>
      <c r="Q5" s="4">
        <v>46122.666666666664</v>
      </c>
      <c r="R5" s="5">
        <v>99</v>
      </c>
      <c r="S5" s="3" t="s">
        <v>239</v>
      </c>
    </row>
    <row r="6" spans="1:19">
      <c r="A6" s="3" t="s">
        <v>359</v>
      </c>
      <c r="B6" s="3" t="s">
        <v>28</v>
      </c>
      <c r="C6" s="3" t="s">
        <v>135</v>
      </c>
      <c r="D6" s="3">
        <v>46127</v>
      </c>
      <c r="E6" s="3">
        <v>0.41666666666666669</v>
      </c>
      <c r="F6" s="4">
        <v>46125.666666666664</v>
      </c>
      <c r="G6" s="5" t="s">
        <v>396</v>
      </c>
      <c r="H6" s="3" t="s">
        <v>397</v>
      </c>
      <c r="I6" s="3">
        <v>16</v>
      </c>
      <c r="J6" s="3" t="s">
        <v>393</v>
      </c>
      <c r="K6" s="3" t="s">
        <v>398</v>
      </c>
      <c r="L6" s="3" t="s">
        <v>384</v>
      </c>
      <c r="M6" s="3"/>
      <c r="N6" s="4"/>
      <c r="O6" s="3" t="s">
        <v>399</v>
      </c>
      <c r="P6" s="3" t="s">
        <v>28</v>
      </c>
      <c r="Q6" s="4">
        <v>46125.666666666664</v>
      </c>
      <c r="R6" s="5">
        <v>171</v>
      </c>
      <c r="S6" s="3" t="s">
        <v>239</v>
      </c>
    </row>
    <row r="7" spans="1:19">
      <c r="A7" s="3" t="s">
        <v>400</v>
      </c>
      <c r="B7" s="3" t="s">
        <v>31</v>
      </c>
      <c r="C7" s="3" t="s">
        <v>135</v>
      </c>
      <c r="D7" s="3">
        <v>46120</v>
      </c>
      <c r="E7" s="3">
        <v>0.41666666666666669</v>
      </c>
      <c r="F7" s="4">
        <v>46118.541666666664</v>
      </c>
      <c r="G7" s="5" t="s">
        <v>381</v>
      </c>
      <c r="H7" s="3" t="s">
        <v>382</v>
      </c>
      <c r="I7" s="3">
        <v>1</v>
      </c>
      <c r="J7" s="3" t="s">
        <v>383</v>
      </c>
      <c r="K7" s="3" t="s">
        <v>126</v>
      </c>
      <c r="L7" s="3" t="s">
        <v>384</v>
      </c>
      <c r="M7" s="3"/>
      <c r="N7" s="4"/>
      <c r="O7" s="3" t="s">
        <v>385</v>
      </c>
      <c r="P7" s="3" t="s">
        <v>31</v>
      </c>
      <c r="Q7" s="4">
        <v>46118.541666666664</v>
      </c>
      <c r="R7" s="5">
        <v>0</v>
      </c>
      <c r="S7" s="3" t="s">
        <v>239</v>
      </c>
    </row>
    <row r="8" spans="1:19">
      <c r="A8" s="3" t="s">
        <v>190</v>
      </c>
      <c r="B8" s="3" t="s">
        <v>31</v>
      </c>
      <c r="C8" s="3" t="s">
        <v>135</v>
      </c>
      <c r="D8" s="3">
        <v>46120</v>
      </c>
      <c r="E8" s="3">
        <v>0.41666666666666669</v>
      </c>
      <c r="F8" s="4">
        <v>46118.541666666664</v>
      </c>
      <c r="G8" s="5" t="s">
        <v>124</v>
      </c>
      <c r="H8" s="3" t="s">
        <v>386</v>
      </c>
      <c r="I8" s="3" t="s">
        <v>387</v>
      </c>
      <c r="J8" s="3" t="s">
        <v>383</v>
      </c>
      <c r="K8" s="3" t="s">
        <v>388</v>
      </c>
      <c r="L8" s="3" t="s">
        <v>384</v>
      </c>
      <c r="M8" s="3"/>
      <c r="N8" s="4"/>
      <c r="O8" s="3" t="s">
        <v>389</v>
      </c>
      <c r="P8" s="3" t="s">
        <v>31</v>
      </c>
      <c r="Q8" s="4">
        <v>46118.541666666664</v>
      </c>
      <c r="R8" s="5">
        <v>0</v>
      </c>
      <c r="S8" s="3" t="s">
        <v>239</v>
      </c>
    </row>
    <row r="9" spans="1:19">
      <c r="A9" s="3" t="s">
        <v>199</v>
      </c>
      <c r="B9" s="3" t="s">
        <v>31</v>
      </c>
      <c r="C9" s="3" t="s">
        <v>135</v>
      </c>
      <c r="D9" s="3">
        <v>46122</v>
      </c>
      <c r="E9" s="3">
        <v>0.41666666666666669</v>
      </c>
      <c r="F9" s="4">
        <v>46120.666666666664</v>
      </c>
      <c r="G9" s="5" t="s">
        <v>163</v>
      </c>
      <c r="H9" s="3" t="s">
        <v>386</v>
      </c>
      <c r="I9" s="3" t="s">
        <v>387</v>
      </c>
      <c r="J9" s="3" t="s">
        <v>383</v>
      </c>
      <c r="K9" s="3" t="s">
        <v>390</v>
      </c>
      <c r="L9" s="3" t="s">
        <v>384</v>
      </c>
      <c r="M9" s="3"/>
      <c r="N9" s="4"/>
      <c r="O9" s="3" t="s">
        <v>391</v>
      </c>
      <c r="P9" s="3" t="s">
        <v>31</v>
      </c>
      <c r="Q9" s="4">
        <v>46120.666666666664</v>
      </c>
      <c r="R9" s="5">
        <v>51</v>
      </c>
      <c r="S9" s="3" t="s">
        <v>239</v>
      </c>
    </row>
    <row r="10" spans="1:19">
      <c r="A10" s="3" t="s">
        <v>204</v>
      </c>
      <c r="B10" s="3" t="s">
        <v>31</v>
      </c>
      <c r="C10" s="3" t="s">
        <v>135</v>
      </c>
      <c r="D10" s="3">
        <v>46124</v>
      </c>
      <c r="E10" s="3">
        <v>0.41666666666666669</v>
      </c>
      <c r="F10" s="4">
        <v>46122.666666666664</v>
      </c>
      <c r="G10" s="5" t="s">
        <v>329</v>
      </c>
      <c r="H10" s="3" t="s">
        <v>392</v>
      </c>
      <c r="I10" s="3">
        <v>21</v>
      </c>
      <c r="J10" s="3" t="s">
        <v>393</v>
      </c>
      <c r="K10" s="3" t="s">
        <v>394</v>
      </c>
      <c r="L10" s="3" t="s">
        <v>384</v>
      </c>
      <c r="M10" s="3"/>
      <c r="N10" s="4"/>
      <c r="O10" s="3" t="s">
        <v>395</v>
      </c>
      <c r="P10" s="3" t="s">
        <v>31</v>
      </c>
      <c r="Q10" s="4">
        <v>46122.666666666664</v>
      </c>
      <c r="R10" s="5">
        <v>99</v>
      </c>
      <c r="S10" s="3" t="s">
        <v>239</v>
      </c>
    </row>
    <row r="11" spans="1:19">
      <c r="A11" s="3" t="s">
        <v>360</v>
      </c>
      <c r="B11" s="3" t="s">
        <v>31</v>
      </c>
      <c r="C11" s="3" t="s">
        <v>135</v>
      </c>
      <c r="D11" s="3">
        <v>46127</v>
      </c>
      <c r="E11" s="3">
        <v>0.41666666666666669</v>
      </c>
      <c r="F11" s="4">
        <v>46125.666666666664</v>
      </c>
      <c r="G11" s="5" t="s">
        <v>396</v>
      </c>
      <c r="H11" s="3" t="s">
        <v>397</v>
      </c>
      <c r="I11" s="3">
        <v>16</v>
      </c>
      <c r="J11" s="3" t="s">
        <v>393</v>
      </c>
      <c r="K11" s="3" t="s">
        <v>398</v>
      </c>
      <c r="L11" s="3" t="s">
        <v>384</v>
      </c>
      <c r="M11" s="3"/>
      <c r="N11" s="4"/>
      <c r="O11" s="3" t="s">
        <v>399</v>
      </c>
      <c r="P11" s="3" t="s">
        <v>31</v>
      </c>
      <c r="Q11" s="4">
        <v>46125.666666666664</v>
      </c>
      <c r="R11" s="5">
        <v>171</v>
      </c>
      <c r="S11" s="3" t="s">
        <v>239</v>
      </c>
    </row>
    <row r="12" spans="1:19">
      <c r="A12" s="3" t="s">
        <v>401</v>
      </c>
      <c r="B12" s="3" t="s">
        <v>32</v>
      </c>
      <c r="C12" s="3" t="s">
        <v>135</v>
      </c>
      <c r="D12" s="3">
        <v>46120</v>
      </c>
      <c r="E12" s="3">
        <v>0.41666666666666669</v>
      </c>
      <c r="F12" s="4">
        <v>46118.541666666664</v>
      </c>
      <c r="G12" s="5" t="s">
        <v>381</v>
      </c>
      <c r="H12" s="3" t="s">
        <v>382</v>
      </c>
      <c r="I12" s="3">
        <v>1</v>
      </c>
      <c r="J12" s="3" t="s">
        <v>383</v>
      </c>
      <c r="K12" s="3" t="s">
        <v>126</v>
      </c>
      <c r="L12" s="3" t="s">
        <v>384</v>
      </c>
      <c r="M12" s="3"/>
      <c r="N12" s="4"/>
      <c r="O12" s="3" t="s">
        <v>385</v>
      </c>
      <c r="P12" s="3" t="s">
        <v>32</v>
      </c>
      <c r="Q12" s="4">
        <v>46118.541666666664</v>
      </c>
      <c r="R12" s="5">
        <v>0</v>
      </c>
      <c r="S12" s="3" t="s">
        <v>239</v>
      </c>
    </row>
    <row r="13" spans="1:19">
      <c r="A13" s="3" t="s">
        <v>210</v>
      </c>
      <c r="B13" s="3" t="s">
        <v>32</v>
      </c>
      <c r="C13" s="3" t="s">
        <v>135</v>
      </c>
      <c r="D13" s="3">
        <v>46120</v>
      </c>
      <c r="E13" s="3">
        <v>0.41666666666666669</v>
      </c>
      <c r="F13" s="4">
        <v>46118.541666666664</v>
      </c>
      <c r="G13" s="5" t="s">
        <v>124</v>
      </c>
      <c r="H13" s="3" t="s">
        <v>386</v>
      </c>
      <c r="I13" s="3" t="s">
        <v>387</v>
      </c>
      <c r="J13" s="3" t="s">
        <v>383</v>
      </c>
      <c r="K13" s="3" t="s">
        <v>388</v>
      </c>
      <c r="L13" s="3" t="s">
        <v>384</v>
      </c>
      <c r="M13" s="3"/>
      <c r="N13" s="4"/>
      <c r="O13" s="3" t="s">
        <v>389</v>
      </c>
      <c r="P13" s="3" t="s">
        <v>32</v>
      </c>
      <c r="Q13" s="4">
        <v>46118.541666666664</v>
      </c>
      <c r="R13" s="5">
        <v>0</v>
      </c>
      <c r="S13" s="3" t="s">
        <v>239</v>
      </c>
    </row>
    <row r="14" spans="1:19">
      <c r="A14" s="3" t="s">
        <v>223</v>
      </c>
      <c r="B14" s="3" t="s">
        <v>32</v>
      </c>
      <c r="C14" s="3" t="s">
        <v>135</v>
      </c>
      <c r="D14" s="3">
        <v>46123</v>
      </c>
      <c r="E14" s="3">
        <v>0.41666666666666669</v>
      </c>
      <c r="F14" s="4">
        <v>46121.666666666664</v>
      </c>
      <c r="G14" s="5" t="s">
        <v>163</v>
      </c>
      <c r="H14" s="3" t="s">
        <v>386</v>
      </c>
      <c r="I14" s="3" t="s">
        <v>387</v>
      </c>
      <c r="J14" s="3" t="s">
        <v>383</v>
      </c>
      <c r="K14" s="3" t="s">
        <v>390</v>
      </c>
      <c r="L14" s="3" t="s">
        <v>384</v>
      </c>
      <c r="M14" s="3"/>
      <c r="N14" s="4"/>
      <c r="O14" s="3" t="s">
        <v>391</v>
      </c>
      <c r="P14" s="3" t="s">
        <v>32</v>
      </c>
      <c r="Q14" s="4">
        <v>46121.666666666664</v>
      </c>
      <c r="R14" s="5">
        <v>75</v>
      </c>
      <c r="S14" s="3" t="s">
        <v>239</v>
      </c>
    </row>
    <row r="15" spans="1:19">
      <c r="A15" s="3" t="s">
        <v>228</v>
      </c>
      <c r="B15" s="3" t="s">
        <v>32</v>
      </c>
      <c r="C15" s="3" t="s">
        <v>135</v>
      </c>
      <c r="D15" s="3">
        <v>46125</v>
      </c>
      <c r="E15" s="3">
        <v>0.41666666666666669</v>
      </c>
      <c r="F15" s="4">
        <v>46123.666666666664</v>
      </c>
      <c r="G15" s="5" t="s">
        <v>329</v>
      </c>
      <c r="H15" s="3" t="s">
        <v>402</v>
      </c>
      <c r="I15" s="3">
        <v>18</v>
      </c>
      <c r="J15" s="3" t="s">
        <v>393</v>
      </c>
      <c r="K15" s="3" t="s">
        <v>394</v>
      </c>
      <c r="L15" s="3" t="s">
        <v>384</v>
      </c>
      <c r="M15" s="3"/>
      <c r="N15" s="4"/>
      <c r="O15" s="3" t="s">
        <v>403</v>
      </c>
      <c r="P15" s="3" t="s">
        <v>32</v>
      </c>
      <c r="Q15" s="4">
        <v>46123.666666666664</v>
      </c>
      <c r="R15" s="5">
        <v>123</v>
      </c>
      <c r="S15" s="3" t="s">
        <v>239</v>
      </c>
    </row>
    <row r="16" spans="1:19">
      <c r="A16" s="3" t="s">
        <v>361</v>
      </c>
      <c r="B16" s="3" t="s">
        <v>32</v>
      </c>
      <c r="C16" s="3" t="s">
        <v>135</v>
      </c>
      <c r="D16" s="3">
        <v>46129</v>
      </c>
      <c r="E16" s="3">
        <v>0.41666666666666669</v>
      </c>
      <c r="F16" s="4">
        <v>46127.666666666664</v>
      </c>
      <c r="G16" s="5" t="s">
        <v>396</v>
      </c>
      <c r="H16" s="3" t="s">
        <v>392</v>
      </c>
      <c r="I16" s="3">
        <v>21</v>
      </c>
      <c r="J16" s="3" t="s">
        <v>393</v>
      </c>
      <c r="K16" s="3" t="s">
        <v>398</v>
      </c>
      <c r="L16" s="3" t="s">
        <v>384</v>
      </c>
      <c r="M16" s="3"/>
      <c r="N16" s="4"/>
      <c r="O16" s="3" t="s">
        <v>404</v>
      </c>
      <c r="P16" s="3" t="s">
        <v>32</v>
      </c>
      <c r="Q16" s="4">
        <v>46127.666666666664</v>
      </c>
      <c r="R16" s="5">
        <v>219</v>
      </c>
      <c r="S16" s="3" t="s">
        <v>239</v>
      </c>
    </row>
    <row r="17" spans="1:19">
      <c r="A17" s="3" t="s">
        <v>405</v>
      </c>
      <c r="B17" s="3"/>
      <c r="C17" s="3"/>
      <c r="D17" s="3">
        <v>46106</v>
      </c>
      <c r="E17" s="3">
        <v>0.41666666666666669</v>
      </c>
      <c r="F17" s="4">
        <v>46106.666666666664</v>
      </c>
      <c r="G17" s="5" t="s">
        <v>381</v>
      </c>
      <c r="H17" s="3" t="s">
        <v>382</v>
      </c>
      <c r="I17" s="3">
        <v>1</v>
      </c>
      <c r="J17" s="3" t="s">
        <v>383</v>
      </c>
      <c r="K17" s="3" t="s">
        <v>126</v>
      </c>
      <c r="L17" s="3" t="s">
        <v>384</v>
      </c>
      <c r="M17" s="3" t="s">
        <v>406</v>
      </c>
      <c r="N17" s="4"/>
      <c r="O17" s="3" t="s">
        <v>385</v>
      </c>
      <c r="P17" s="3" t="s">
        <v>34</v>
      </c>
      <c r="Q17" s="4">
        <v>46106.666666666664</v>
      </c>
      <c r="R17" s="5">
        <v>0</v>
      </c>
      <c r="S17" s="3" t="s">
        <v>239</v>
      </c>
    </row>
    <row r="18" spans="1:19">
      <c r="A18" s="3" t="s">
        <v>242</v>
      </c>
      <c r="B18" s="3"/>
      <c r="C18" s="3"/>
      <c r="D18" s="3">
        <v>46106</v>
      </c>
      <c r="E18" s="3">
        <v>0.41666666666666669</v>
      </c>
      <c r="F18" s="4">
        <v>46106.666666666664</v>
      </c>
      <c r="G18" s="5" t="s">
        <v>124</v>
      </c>
      <c r="H18" s="3" t="s">
        <v>386</v>
      </c>
      <c r="I18" s="3" t="s">
        <v>387</v>
      </c>
      <c r="J18" s="3" t="s">
        <v>383</v>
      </c>
      <c r="K18" s="3" t="s">
        <v>388</v>
      </c>
      <c r="L18" s="3" t="s">
        <v>384</v>
      </c>
      <c r="M18" s="3" t="s">
        <v>406</v>
      </c>
      <c r="N18" s="4">
        <v>46132.4375</v>
      </c>
      <c r="O18" s="3" t="s">
        <v>389</v>
      </c>
      <c r="P18" s="3" t="s">
        <v>34</v>
      </c>
      <c r="Q18" s="4">
        <v>46106.666666666664</v>
      </c>
      <c r="R18" s="5">
        <v>0</v>
      </c>
      <c r="S18" s="3" t="s">
        <v>239</v>
      </c>
    </row>
    <row r="19" spans="1:19">
      <c r="A19" s="3" t="s">
        <v>253</v>
      </c>
      <c r="B19" s="3"/>
      <c r="C19" s="3"/>
      <c r="D19" s="3">
        <v>46109</v>
      </c>
      <c r="E19" s="3">
        <v>0.41666666666666669</v>
      </c>
      <c r="F19" s="4">
        <v>46109.666666666664</v>
      </c>
      <c r="G19" s="5" t="s">
        <v>329</v>
      </c>
      <c r="H19" s="3" t="s">
        <v>402</v>
      </c>
      <c r="I19" s="3">
        <v>18</v>
      </c>
      <c r="J19" s="3" t="s">
        <v>393</v>
      </c>
      <c r="K19" s="3" t="s">
        <v>394</v>
      </c>
      <c r="L19" s="3" t="s">
        <v>407</v>
      </c>
      <c r="M19" s="3" t="s">
        <v>406</v>
      </c>
      <c r="N19" s="4"/>
      <c r="O19" s="3" t="s">
        <v>408</v>
      </c>
      <c r="P19" s="3" t="s">
        <v>34</v>
      </c>
      <c r="Q19" s="4">
        <v>46109.666666666664</v>
      </c>
      <c r="R19" s="5">
        <v>72</v>
      </c>
      <c r="S19" s="3" t="s">
        <v>239</v>
      </c>
    </row>
    <row r="20" spans="1:19">
      <c r="A20" s="3" t="s">
        <v>409</v>
      </c>
      <c r="B20" s="3"/>
      <c r="C20" s="3"/>
      <c r="D20" s="3">
        <v>46109</v>
      </c>
      <c r="E20" s="3">
        <v>0.41666666666666669</v>
      </c>
      <c r="F20" s="4">
        <v>46109.666666666664</v>
      </c>
      <c r="G20" s="5" t="s">
        <v>329</v>
      </c>
      <c r="H20" s="3" t="s">
        <v>402</v>
      </c>
      <c r="I20" s="3">
        <v>18</v>
      </c>
      <c r="J20" s="3" t="s">
        <v>393</v>
      </c>
      <c r="K20" s="3" t="s">
        <v>394</v>
      </c>
      <c r="L20" s="3" t="s">
        <v>384</v>
      </c>
      <c r="M20" s="3" t="s">
        <v>406</v>
      </c>
      <c r="N20" s="4"/>
      <c r="O20" s="3" t="s">
        <v>408</v>
      </c>
      <c r="P20" s="3" t="s">
        <v>34</v>
      </c>
      <c r="Q20" s="4">
        <v>46109.666666666664</v>
      </c>
      <c r="R20" s="5">
        <v>72</v>
      </c>
      <c r="S20" s="3" t="s">
        <v>239</v>
      </c>
    </row>
    <row r="21" spans="1:19">
      <c r="A21" s="3" t="s">
        <v>410</v>
      </c>
      <c r="B21" s="3"/>
      <c r="C21" s="3"/>
      <c r="D21" s="3">
        <v>46106</v>
      </c>
      <c r="E21" s="3">
        <v>0.41666666666666669</v>
      </c>
      <c r="F21" s="4">
        <v>46106.666666666664</v>
      </c>
      <c r="G21" s="5" t="s">
        <v>381</v>
      </c>
      <c r="H21" s="3" t="s">
        <v>382</v>
      </c>
      <c r="I21" s="3">
        <v>1</v>
      </c>
      <c r="J21" s="3" t="s">
        <v>383</v>
      </c>
      <c r="K21" s="3" t="s">
        <v>126</v>
      </c>
      <c r="L21" s="3" t="s">
        <v>384</v>
      </c>
      <c r="M21" s="3" t="s">
        <v>406</v>
      </c>
      <c r="N21" s="4"/>
      <c r="O21" s="3" t="s">
        <v>385</v>
      </c>
      <c r="P21" s="3" t="s">
        <v>38</v>
      </c>
      <c r="Q21" s="4">
        <v>46106.666666666664</v>
      </c>
      <c r="R21" s="5">
        <v>0</v>
      </c>
      <c r="S21" s="3" t="s">
        <v>239</v>
      </c>
    </row>
    <row r="22" spans="1:19">
      <c r="A22" s="3" t="s">
        <v>261</v>
      </c>
      <c r="B22" s="3"/>
      <c r="C22" s="3"/>
      <c r="D22" s="3">
        <v>46106</v>
      </c>
      <c r="E22" s="3">
        <v>0.41666666666666669</v>
      </c>
      <c r="F22" s="4">
        <v>46106.666666666664</v>
      </c>
      <c r="G22" s="5" t="s">
        <v>124</v>
      </c>
      <c r="H22" s="3" t="s">
        <v>386</v>
      </c>
      <c r="I22" s="3" t="s">
        <v>387</v>
      </c>
      <c r="J22" s="3" t="s">
        <v>383</v>
      </c>
      <c r="K22" s="3" t="s">
        <v>388</v>
      </c>
      <c r="L22" s="3" t="s">
        <v>384</v>
      </c>
      <c r="M22" s="3" t="s">
        <v>406</v>
      </c>
      <c r="N22" s="4">
        <v>46132.4375</v>
      </c>
      <c r="O22" s="3" t="s">
        <v>389</v>
      </c>
      <c r="P22" s="3" t="s">
        <v>38</v>
      </c>
      <c r="Q22" s="4">
        <v>46106.666666666664</v>
      </c>
      <c r="R22" s="5">
        <v>0</v>
      </c>
      <c r="S22" s="3" t="s">
        <v>239</v>
      </c>
    </row>
    <row r="23" spans="1:19">
      <c r="A23" s="3" t="s">
        <v>270</v>
      </c>
      <c r="B23" s="3"/>
      <c r="C23" s="3"/>
      <c r="D23" s="3">
        <v>46110</v>
      </c>
      <c r="E23" s="3">
        <v>0.41666666666666669</v>
      </c>
      <c r="F23" s="4">
        <v>46110.666666666664</v>
      </c>
      <c r="G23" s="5" t="s">
        <v>329</v>
      </c>
      <c r="H23" s="3" t="s">
        <v>392</v>
      </c>
      <c r="I23" s="3">
        <v>21</v>
      </c>
      <c r="J23" s="3" t="s">
        <v>393</v>
      </c>
      <c r="K23" s="3" t="s">
        <v>394</v>
      </c>
      <c r="L23" s="3" t="s">
        <v>407</v>
      </c>
      <c r="M23" s="3" t="s">
        <v>406</v>
      </c>
      <c r="N23" s="4"/>
      <c r="O23" s="3" t="s">
        <v>395</v>
      </c>
      <c r="P23" s="3" t="s">
        <v>38</v>
      </c>
      <c r="Q23" s="4">
        <v>46110.666666666664</v>
      </c>
      <c r="R23" s="5">
        <v>96</v>
      </c>
      <c r="S23" s="3" t="s">
        <v>239</v>
      </c>
    </row>
    <row r="24" spans="1:19">
      <c r="A24" s="3" t="s">
        <v>411</v>
      </c>
      <c r="B24" s="3"/>
      <c r="C24" s="3"/>
      <c r="D24" s="3">
        <v>46110</v>
      </c>
      <c r="E24" s="3">
        <v>0.41666666666666669</v>
      </c>
      <c r="F24" s="4">
        <v>46110.666666666664</v>
      </c>
      <c r="G24" s="5" t="s">
        <v>329</v>
      </c>
      <c r="H24" s="3" t="s">
        <v>392</v>
      </c>
      <c r="I24" s="3">
        <v>21</v>
      </c>
      <c r="J24" s="3" t="s">
        <v>393</v>
      </c>
      <c r="K24" s="3" t="s">
        <v>394</v>
      </c>
      <c r="L24" s="3" t="s">
        <v>407</v>
      </c>
      <c r="M24" s="3" t="s">
        <v>406</v>
      </c>
      <c r="N24" s="4"/>
      <c r="O24" s="3" t="s">
        <v>395</v>
      </c>
      <c r="P24" s="3" t="s">
        <v>38</v>
      </c>
      <c r="Q24" s="4">
        <v>46110.666666666664</v>
      </c>
      <c r="R24" s="5">
        <v>96</v>
      </c>
      <c r="S24" s="3" t="s">
        <v>239</v>
      </c>
    </row>
    <row r="25" spans="1:19">
      <c r="A25" s="3" t="s">
        <v>412</v>
      </c>
      <c r="B25" s="3"/>
      <c r="C25" s="3"/>
      <c r="D25" s="3">
        <v>46106</v>
      </c>
      <c r="E25" s="3">
        <v>0.41666666666666669</v>
      </c>
      <c r="F25" s="4">
        <v>46106.666666666664</v>
      </c>
      <c r="G25" s="5" t="s">
        <v>381</v>
      </c>
      <c r="H25" s="3" t="s">
        <v>382</v>
      </c>
      <c r="I25" s="3">
        <v>1</v>
      </c>
      <c r="J25" s="3" t="s">
        <v>383</v>
      </c>
      <c r="K25" s="3" t="s">
        <v>126</v>
      </c>
      <c r="L25" s="3" t="s">
        <v>384</v>
      </c>
      <c r="M25" s="3" t="s">
        <v>406</v>
      </c>
      <c r="N25" s="4"/>
      <c r="O25" s="3" t="s">
        <v>385</v>
      </c>
      <c r="P25" s="3" t="s">
        <v>39</v>
      </c>
      <c r="Q25" s="4">
        <v>46106.666666666664</v>
      </c>
      <c r="R25" s="5">
        <v>0</v>
      </c>
      <c r="S25" s="3" t="s">
        <v>239</v>
      </c>
    </row>
    <row r="26" spans="1:19">
      <c r="A26" s="3" t="s">
        <v>276</v>
      </c>
      <c r="B26" s="3"/>
      <c r="C26" s="3"/>
      <c r="D26" s="3">
        <v>46106</v>
      </c>
      <c r="E26" s="3">
        <v>0.41666666666666669</v>
      </c>
      <c r="F26" s="4">
        <v>46106.666666666664</v>
      </c>
      <c r="G26" s="5" t="s">
        <v>124</v>
      </c>
      <c r="H26" s="3" t="s">
        <v>386</v>
      </c>
      <c r="I26" s="3" t="s">
        <v>387</v>
      </c>
      <c r="J26" s="3" t="s">
        <v>383</v>
      </c>
      <c r="K26" s="3" t="s">
        <v>388</v>
      </c>
      <c r="L26" s="3" t="s">
        <v>384</v>
      </c>
      <c r="M26" s="3" t="s">
        <v>406</v>
      </c>
      <c r="N26" s="4">
        <v>46131.645833333336</v>
      </c>
      <c r="O26" s="3" t="s">
        <v>389</v>
      </c>
      <c r="P26" s="3" t="s">
        <v>39</v>
      </c>
      <c r="Q26" s="4">
        <v>46106.666666666664</v>
      </c>
      <c r="R26" s="5">
        <v>0</v>
      </c>
      <c r="S26" s="3" t="s">
        <v>239</v>
      </c>
    </row>
    <row r="27" spans="1:19">
      <c r="A27" s="3" t="s">
        <v>285</v>
      </c>
      <c r="B27" s="3"/>
      <c r="C27" s="3"/>
      <c r="D27" s="3">
        <v>46110</v>
      </c>
      <c r="E27" s="3">
        <v>0.41666666666666669</v>
      </c>
      <c r="F27" s="4">
        <v>46110.666666666664</v>
      </c>
      <c r="G27" s="5" t="s">
        <v>329</v>
      </c>
      <c r="H27" s="3" t="s">
        <v>392</v>
      </c>
      <c r="I27" s="3">
        <v>21</v>
      </c>
      <c r="J27" s="3" t="s">
        <v>393</v>
      </c>
      <c r="K27" s="3" t="s">
        <v>394</v>
      </c>
      <c r="L27" s="3" t="s">
        <v>384</v>
      </c>
      <c r="M27" s="3" t="s">
        <v>406</v>
      </c>
      <c r="N27" s="4"/>
      <c r="O27" s="3" t="s">
        <v>395</v>
      </c>
      <c r="P27" s="3" t="s">
        <v>39</v>
      </c>
      <c r="Q27" s="4">
        <v>46110.666666666664</v>
      </c>
      <c r="R27" s="5">
        <v>96</v>
      </c>
      <c r="S27" s="3" t="s">
        <v>239</v>
      </c>
    </row>
    <row r="28" spans="1:19">
      <c r="A28" s="3" t="s">
        <v>413</v>
      </c>
      <c r="B28" s="3"/>
      <c r="C28" s="3"/>
      <c r="D28" s="3">
        <v>46110</v>
      </c>
      <c r="E28" s="3">
        <v>0.41666666666666669</v>
      </c>
      <c r="F28" s="4">
        <v>46110.666666666664</v>
      </c>
      <c r="G28" s="5" t="s">
        <v>329</v>
      </c>
      <c r="H28" s="3" t="s">
        <v>392</v>
      </c>
      <c r="I28" s="3">
        <v>21</v>
      </c>
      <c r="J28" s="3" t="s">
        <v>393</v>
      </c>
      <c r="K28" s="3" t="s">
        <v>394</v>
      </c>
      <c r="L28" s="3" t="s">
        <v>384</v>
      </c>
      <c r="M28" s="3" t="s">
        <v>406</v>
      </c>
      <c r="N28" s="4"/>
      <c r="O28" s="3" t="s">
        <v>395</v>
      </c>
      <c r="P28" s="3" t="s">
        <v>39</v>
      </c>
      <c r="Q28" s="4">
        <v>46110.666666666664</v>
      </c>
      <c r="R28" s="5">
        <v>96</v>
      </c>
      <c r="S28" s="3" t="s">
        <v>239</v>
      </c>
    </row>
    <row r="29" spans="1:19">
      <c r="A29" s="3" t="s">
        <v>414</v>
      </c>
      <c r="B29" s="3" t="s">
        <v>40</v>
      </c>
      <c r="C29" s="3" t="s">
        <v>135</v>
      </c>
      <c r="D29" s="3">
        <v>46154</v>
      </c>
      <c r="E29" s="3">
        <v>0.41666666666666669</v>
      </c>
      <c r="F29" s="4">
        <v>46154.416669999999</v>
      </c>
      <c r="G29" s="5" t="s">
        <v>381</v>
      </c>
      <c r="H29" s="3" t="s">
        <v>382</v>
      </c>
      <c r="I29" s="3">
        <v>1</v>
      </c>
      <c r="J29" s="3" t="s">
        <v>383</v>
      </c>
      <c r="K29" s="3" t="s">
        <v>126</v>
      </c>
      <c r="L29" s="3" t="s">
        <v>384</v>
      </c>
      <c r="M29" s="3" t="s">
        <v>295</v>
      </c>
      <c r="N29" s="4"/>
      <c r="O29" s="3" t="s">
        <v>385</v>
      </c>
      <c r="P29" s="3" t="s">
        <v>40</v>
      </c>
      <c r="Q29" s="4">
        <v>46154.416669999999</v>
      </c>
      <c r="R29" s="5">
        <v>0</v>
      </c>
      <c r="S29" s="3" t="s">
        <v>239</v>
      </c>
    </row>
    <row r="30" spans="1:19">
      <c r="A30" s="3" t="s">
        <v>292</v>
      </c>
      <c r="B30" s="3" t="s">
        <v>40</v>
      </c>
      <c r="C30" s="3" t="s">
        <v>135</v>
      </c>
      <c r="D30" s="3">
        <v>46154</v>
      </c>
      <c r="E30" s="3">
        <v>0.41666666666666669</v>
      </c>
      <c r="F30" s="4">
        <v>46154.416669999999</v>
      </c>
      <c r="G30" s="5" t="s">
        <v>329</v>
      </c>
      <c r="H30" s="3" t="s">
        <v>415</v>
      </c>
      <c r="I30" s="3">
        <v>15</v>
      </c>
      <c r="J30" s="3" t="s">
        <v>393</v>
      </c>
      <c r="K30" s="3" t="s">
        <v>416</v>
      </c>
      <c r="L30" s="3" t="s">
        <v>384</v>
      </c>
      <c r="M30" s="3" t="s">
        <v>295</v>
      </c>
      <c r="N30" s="4"/>
      <c r="O30" s="3" t="s">
        <v>417</v>
      </c>
      <c r="P30" s="3" t="s">
        <v>40</v>
      </c>
      <c r="Q30" s="4">
        <v>46154.416669999999</v>
      </c>
      <c r="R30" s="5">
        <v>0</v>
      </c>
      <c r="S30" s="3" t="s">
        <v>239</v>
      </c>
    </row>
    <row r="31" spans="1:19">
      <c r="A31" s="3" t="s">
        <v>293</v>
      </c>
      <c r="B31" s="3" t="s">
        <v>40</v>
      </c>
      <c r="C31" s="3" t="s">
        <v>135</v>
      </c>
      <c r="D31" s="3">
        <v>46154</v>
      </c>
      <c r="E31" s="3">
        <v>0.41666666666666669</v>
      </c>
      <c r="F31" s="4">
        <v>46154.416669999999</v>
      </c>
      <c r="G31" s="5" t="s">
        <v>124</v>
      </c>
      <c r="H31" s="3" t="s">
        <v>418</v>
      </c>
      <c r="I31" s="3">
        <v>4</v>
      </c>
      <c r="J31" s="3" t="s">
        <v>419</v>
      </c>
      <c r="K31" s="3" t="s">
        <v>420</v>
      </c>
      <c r="L31" s="3" t="s">
        <v>384</v>
      </c>
      <c r="M31" s="3" t="s">
        <v>295</v>
      </c>
      <c r="N31" s="4"/>
      <c r="O31" s="3" t="s">
        <v>421</v>
      </c>
      <c r="P31" s="3" t="s">
        <v>40</v>
      </c>
      <c r="Q31" s="4">
        <v>46154.416669999999</v>
      </c>
      <c r="R31" s="5">
        <v>0</v>
      </c>
      <c r="S31" s="3" t="s">
        <v>239</v>
      </c>
    </row>
    <row r="32" spans="1:19">
      <c r="A32" s="3" t="s">
        <v>312</v>
      </c>
      <c r="B32" s="3" t="s">
        <v>40</v>
      </c>
      <c r="C32" s="3" t="s">
        <v>135</v>
      </c>
      <c r="D32" s="3">
        <v>46157</v>
      </c>
      <c r="E32" s="3">
        <v>0.91666666666666663</v>
      </c>
      <c r="F32" s="4">
        <v>46157.916666666664</v>
      </c>
      <c r="G32" s="5" t="s">
        <v>163</v>
      </c>
      <c r="H32" s="3" t="s">
        <v>418</v>
      </c>
      <c r="I32" s="3">
        <v>4</v>
      </c>
      <c r="J32" s="3" t="s">
        <v>419</v>
      </c>
      <c r="K32" s="3" t="s">
        <v>422</v>
      </c>
      <c r="L32" s="3" t="s">
        <v>384</v>
      </c>
      <c r="M32" s="3" t="s">
        <v>295</v>
      </c>
      <c r="N32" s="4"/>
      <c r="O32" s="3" t="s">
        <v>421</v>
      </c>
      <c r="P32" s="3" t="s">
        <v>40</v>
      </c>
      <c r="Q32" s="4">
        <v>46157.916666666664</v>
      </c>
      <c r="R32" s="5">
        <v>84</v>
      </c>
      <c r="S32" s="3" t="s">
        <v>239</v>
      </c>
    </row>
    <row r="33" spans="1:19">
      <c r="A33" s="3" t="s">
        <v>423</v>
      </c>
      <c r="B33" s="3" t="s">
        <v>41</v>
      </c>
      <c r="C33" s="3" t="s">
        <v>135</v>
      </c>
      <c r="D33" s="3">
        <v>46154</v>
      </c>
      <c r="E33" s="3">
        <v>0.41666666666666669</v>
      </c>
      <c r="F33" s="4">
        <v>46154.416669999999</v>
      </c>
      <c r="G33" s="5" t="s">
        <v>381</v>
      </c>
      <c r="H33" s="3" t="s">
        <v>382</v>
      </c>
      <c r="I33" s="3">
        <v>1</v>
      </c>
      <c r="J33" s="3" t="s">
        <v>383</v>
      </c>
      <c r="K33" s="3" t="s">
        <v>126</v>
      </c>
      <c r="L33" s="3" t="s">
        <v>384</v>
      </c>
      <c r="M33" s="3" t="s">
        <v>295</v>
      </c>
      <c r="N33" s="4"/>
      <c r="O33" s="3" t="s">
        <v>385</v>
      </c>
      <c r="P33" s="3" t="s">
        <v>41</v>
      </c>
      <c r="Q33" s="4">
        <v>46154.416669999999</v>
      </c>
      <c r="R33" s="5">
        <v>0</v>
      </c>
      <c r="S33" s="3" t="s">
        <v>239</v>
      </c>
    </row>
    <row r="34" spans="1:19">
      <c r="A34" s="3" t="s">
        <v>319</v>
      </c>
      <c r="B34" s="3" t="s">
        <v>41</v>
      </c>
      <c r="C34" s="3" t="s">
        <v>135</v>
      </c>
      <c r="D34" s="3">
        <v>46154</v>
      </c>
      <c r="E34" s="3">
        <v>0.41666666666666669</v>
      </c>
      <c r="F34" s="4">
        <v>46154.416669999999</v>
      </c>
      <c r="G34" s="5" t="s">
        <v>329</v>
      </c>
      <c r="H34" s="3" t="s">
        <v>402</v>
      </c>
      <c r="I34" s="3">
        <v>18</v>
      </c>
      <c r="J34" s="3" t="s">
        <v>393</v>
      </c>
      <c r="K34" s="3" t="s">
        <v>416</v>
      </c>
      <c r="L34" s="3" t="s">
        <v>384</v>
      </c>
      <c r="M34" s="3" t="s">
        <v>295</v>
      </c>
      <c r="N34" s="4"/>
      <c r="O34" s="3" t="s">
        <v>424</v>
      </c>
      <c r="P34" s="3" t="s">
        <v>41</v>
      </c>
      <c r="Q34" s="4">
        <v>46154.416669999999</v>
      </c>
      <c r="R34" s="5">
        <v>0</v>
      </c>
      <c r="S34" s="3" t="s">
        <v>239</v>
      </c>
    </row>
    <row r="35" spans="1:19">
      <c r="A35" s="3" t="s">
        <v>320</v>
      </c>
      <c r="B35" s="3" t="s">
        <v>41</v>
      </c>
      <c r="C35" s="3" t="s">
        <v>135</v>
      </c>
      <c r="D35" s="3">
        <v>46154</v>
      </c>
      <c r="E35" s="3">
        <v>0.41666666666666669</v>
      </c>
      <c r="F35" s="4">
        <v>46154.416669999999</v>
      </c>
      <c r="G35" s="5" t="s">
        <v>124</v>
      </c>
      <c r="H35" s="3" t="s">
        <v>418</v>
      </c>
      <c r="I35" s="3">
        <v>4</v>
      </c>
      <c r="J35" s="3" t="s">
        <v>419</v>
      </c>
      <c r="K35" s="3" t="s">
        <v>420</v>
      </c>
      <c r="L35" s="3" t="s">
        <v>384</v>
      </c>
      <c r="M35" s="3" t="s">
        <v>295</v>
      </c>
      <c r="N35" s="4"/>
      <c r="O35" s="3" t="s">
        <v>421</v>
      </c>
      <c r="P35" s="3" t="s">
        <v>41</v>
      </c>
      <c r="Q35" s="4">
        <v>46154.416669999999</v>
      </c>
      <c r="R35" s="5">
        <v>0</v>
      </c>
      <c r="S35" s="3" t="s">
        <v>239</v>
      </c>
    </row>
    <row r="36" spans="1:19">
      <c r="A36" s="3" t="s">
        <v>326</v>
      </c>
      <c r="B36" s="3" t="s">
        <v>41</v>
      </c>
      <c r="C36" s="3" t="s">
        <v>135</v>
      </c>
      <c r="D36" s="3">
        <v>46155</v>
      </c>
      <c r="E36" s="3">
        <v>0.41666666666666669</v>
      </c>
      <c r="F36" s="4">
        <v>46155.416669999999</v>
      </c>
      <c r="G36" s="5" t="s">
        <v>329</v>
      </c>
      <c r="H36" s="3" t="s">
        <v>415</v>
      </c>
      <c r="I36" s="3">
        <v>15</v>
      </c>
      <c r="J36" s="3" t="s">
        <v>393</v>
      </c>
      <c r="K36" s="3" t="s">
        <v>394</v>
      </c>
      <c r="L36" s="3" t="s">
        <v>384</v>
      </c>
      <c r="M36" s="3" t="s">
        <v>295</v>
      </c>
      <c r="N36" s="4"/>
      <c r="O36" s="3" t="s">
        <v>425</v>
      </c>
      <c r="P36" s="3" t="s">
        <v>41</v>
      </c>
      <c r="Q36" s="4">
        <v>46155.416669999999</v>
      </c>
      <c r="R36" s="5">
        <v>24</v>
      </c>
      <c r="S36" s="3" t="s">
        <v>239</v>
      </c>
    </row>
    <row r="37" spans="1:19">
      <c r="A37" s="3" t="s">
        <v>333</v>
      </c>
      <c r="B37" s="3" t="s">
        <v>41</v>
      </c>
      <c r="C37" s="3" t="s">
        <v>135</v>
      </c>
      <c r="D37" s="3">
        <v>46157</v>
      </c>
      <c r="E37" s="3">
        <v>0.41666666666666669</v>
      </c>
      <c r="F37" s="4">
        <v>46157.416666666664</v>
      </c>
      <c r="G37" s="5" t="s">
        <v>163</v>
      </c>
      <c r="H37" s="3" t="s">
        <v>418</v>
      </c>
      <c r="I37" s="3">
        <v>4</v>
      </c>
      <c r="J37" s="3" t="s">
        <v>419</v>
      </c>
      <c r="K37" s="3" t="s">
        <v>422</v>
      </c>
      <c r="L37" s="3" t="s">
        <v>384</v>
      </c>
      <c r="M37" s="3" t="s">
        <v>295</v>
      </c>
      <c r="N37" s="4"/>
      <c r="O37" s="3" t="s">
        <v>421</v>
      </c>
      <c r="P37" s="3" t="s">
        <v>41</v>
      </c>
      <c r="Q37" s="4">
        <v>46157.416666666664</v>
      </c>
      <c r="R37" s="5">
        <v>72</v>
      </c>
      <c r="S37" s="3" t="s">
        <v>239</v>
      </c>
    </row>
    <row r="38" spans="1:19">
      <c r="A38" s="3" t="s">
        <v>336</v>
      </c>
      <c r="B38" s="3" t="s">
        <v>41</v>
      </c>
      <c r="C38" s="3" t="s">
        <v>135</v>
      </c>
      <c r="D38" s="3">
        <v>46157</v>
      </c>
      <c r="E38" s="3">
        <v>0.41666666666666669</v>
      </c>
      <c r="F38" s="4">
        <v>46157.416669999999</v>
      </c>
      <c r="G38" s="5" t="s">
        <v>396</v>
      </c>
      <c r="H38" s="3" t="s">
        <v>392</v>
      </c>
      <c r="I38" s="3">
        <v>21</v>
      </c>
      <c r="J38" s="3" t="s">
        <v>393</v>
      </c>
      <c r="K38" s="3" t="s">
        <v>398</v>
      </c>
      <c r="L38" s="3" t="s">
        <v>384</v>
      </c>
      <c r="M38" s="3" t="s">
        <v>295</v>
      </c>
      <c r="N38" s="4"/>
      <c r="O38" s="3" t="s">
        <v>426</v>
      </c>
      <c r="P38" s="3" t="s">
        <v>41</v>
      </c>
      <c r="Q38" s="4">
        <v>46157.416669999999</v>
      </c>
      <c r="R38" s="5">
        <v>72</v>
      </c>
      <c r="S38" s="3" t="s">
        <v>239</v>
      </c>
    </row>
    <row r="39" spans="1:19">
      <c r="A39" s="3" t="s">
        <v>427</v>
      </c>
      <c r="B39" s="3" t="s">
        <v>42</v>
      </c>
      <c r="C39" s="3" t="s">
        <v>135</v>
      </c>
      <c r="D39" s="3">
        <v>46154</v>
      </c>
      <c r="E39" s="3">
        <v>0.41666666666666669</v>
      </c>
      <c r="F39" s="4">
        <v>46154.416669999999</v>
      </c>
      <c r="G39" s="5" t="s">
        <v>381</v>
      </c>
      <c r="H39" s="3" t="s">
        <v>382</v>
      </c>
      <c r="I39" s="3">
        <v>1</v>
      </c>
      <c r="J39" s="3" t="s">
        <v>383</v>
      </c>
      <c r="K39" s="3" t="s">
        <v>126</v>
      </c>
      <c r="L39" s="3" t="s">
        <v>384</v>
      </c>
      <c r="M39" s="3" t="s">
        <v>295</v>
      </c>
      <c r="N39" s="4"/>
      <c r="O39" s="3" t="s">
        <v>385</v>
      </c>
      <c r="P39" s="3" t="s">
        <v>42</v>
      </c>
      <c r="Q39" s="4">
        <v>46154.416669999999</v>
      </c>
      <c r="R39" s="5">
        <v>0</v>
      </c>
      <c r="S39" s="3" t="s">
        <v>239</v>
      </c>
    </row>
    <row r="40" spans="1:19">
      <c r="A40" s="3" t="s">
        <v>340</v>
      </c>
      <c r="B40" s="3" t="s">
        <v>42</v>
      </c>
      <c r="C40" s="3" t="s">
        <v>135</v>
      </c>
      <c r="D40" s="3">
        <v>46154</v>
      </c>
      <c r="E40" s="3">
        <v>0.41666666666666669</v>
      </c>
      <c r="F40" s="4">
        <v>46154.416669999999</v>
      </c>
      <c r="G40" s="5" t="s">
        <v>396</v>
      </c>
      <c r="H40" s="3" t="s">
        <v>415</v>
      </c>
      <c r="I40" s="3">
        <v>15</v>
      </c>
      <c r="J40" s="3" t="s">
        <v>393</v>
      </c>
      <c r="K40" s="3" t="s">
        <v>416</v>
      </c>
      <c r="L40" s="3" t="s">
        <v>384</v>
      </c>
      <c r="M40" s="3" t="s">
        <v>295</v>
      </c>
      <c r="N40" s="4"/>
      <c r="O40" s="3" t="s">
        <v>428</v>
      </c>
      <c r="P40" s="3" t="s">
        <v>42</v>
      </c>
      <c r="Q40" s="4">
        <v>46154.416669999999</v>
      </c>
      <c r="R40" s="5">
        <v>0</v>
      </c>
      <c r="S40" s="3" t="s">
        <v>239</v>
      </c>
    </row>
    <row r="41" spans="1:19">
      <c r="A41" s="3" t="s">
        <v>341</v>
      </c>
      <c r="B41" s="3" t="s">
        <v>42</v>
      </c>
      <c r="C41" s="3" t="s">
        <v>135</v>
      </c>
      <c r="D41" s="3">
        <v>46154</v>
      </c>
      <c r="E41" s="3">
        <v>0.41666666666666669</v>
      </c>
      <c r="F41" s="4">
        <v>46154.416669999999</v>
      </c>
      <c r="G41" s="5" t="s">
        <v>124</v>
      </c>
      <c r="H41" s="3" t="s">
        <v>418</v>
      </c>
      <c r="I41" s="3">
        <v>4</v>
      </c>
      <c r="J41" s="3" t="s">
        <v>419</v>
      </c>
      <c r="K41" s="3" t="s">
        <v>420</v>
      </c>
      <c r="L41" s="3" t="s">
        <v>384</v>
      </c>
      <c r="M41" s="3" t="s">
        <v>295</v>
      </c>
      <c r="N41" s="4"/>
      <c r="O41" s="3" t="s">
        <v>421</v>
      </c>
      <c r="P41" s="3" t="s">
        <v>42</v>
      </c>
      <c r="Q41" s="4">
        <v>46154.416669999999</v>
      </c>
      <c r="R41" s="5">
        <v>0</v>
      </c>
      <c r="S41" s="3" t="s">
        <v>239</v>
      </c>
    </row>
    <row r="42" spans="1:19">
      <c r="A42" s="3" t="s">
        <v>349</v>
      </c>
      <c r="B42" s="3" t="s">
        <v>42</v>
      </c>
      <c r="C42" s="3" t="s">
        <v>135</v>
      </c>
      <c r="D42" s="3">
        <v>46156</v>
      </c>
      <c r="E42" s="3">
        <v>0.91666666666666663</v>
      </c>
      <c r="F42" s="4">
        <v>46156.916669999999</v>
      </c>
      <c r="G42" s="5" t="s">
        <v>329</v>
      </c>
      <c r="H42" s="3" t="s">
        <v>402</v>
      </c>
      <c r="I42" s="3">
        <v>18</v>
      </c>
      <c r="J42" s="3" t="s">
        <v>393</v>
      </c>
      <c r="K42" s="3" t="s">
        <v>394</v>
      </c>
      <c r="L42" s="3" t="s">
        <v>384</v>
      </c>
      <c r="M42" s="3" t="s">
        <v>295</v>
      </c>
      <c r="N42" s="4"/>
      <c r="O42" s="3" t="s">
        <v>429</v>
      </c>
      <c r="P42" s="3" t="s">
        <v>42</v>
      </c>
      <c r="Q42" s="4">
        <v>46156.916669999999</v>
      </c>
      <c r="R42" s="5">
        <v>60</v>
      </c>
      <c r="S42" s="3" t="s">
        <v>239</v>
      </c>
    </row>
    <row r="43" spans="1:19">
      <c r="A43" s="3" t="s">
        <v>353</v>
      </c>
      <c r="B43" s="3" t="s">
        <v>42</v>
      </c>
      <c r="C43" s="3" t="s">
        <v>135</v>
      </c>
      <c r="D43" s="3">
        <v>46157</v>
      </c>
      <c r="E43" s="3">
        <v>0.91666666666666663</v>
      </c>
      <c r="F43" s="4">
        <v>46157.916666666664</v>
      </c>
      <c r="G43" s="5" t="s">
        <v>163</v>
      </c>
      <c r="H43" s="3" t="s">
        <v>418</v>
      </c>
      <c r="I43" s="3">
        <v>4</v>
      </c>
      <c r="J43" s="3" t="s">
        <v>419</v>
      </c>
      <c r="K43" s="3" t="s">
        <v>422</v>
      </c>
      <c r="L43" s="3" t="s">
        <v>384</v>
      </c>
      <c r="M43" s="3" t="s">
        <v>295</v>
      </c>
      <c r="N43" s="4"/>
      <c r="O43" s="3" t="s">
        <v>421</v>
      </c>
      <c r="P43" s="3" t="s">
        <v>42</v>
      </c>
      <c r="Q43" s="4">
        <v>46157.916666666664</v>
      </c>
      <c r="R43" s="5">
        <v>84</v>
      </c>
      <c r="S43" s="3" t="s">
        <v>239</v>
      </c>
    </row>
    <row r="44" spans="1:19">
      <c r="A44" s="3" t="s">
        <v>352</v>
      </c>
      <c r="B44" s="3" t="s">
        <v>42</v>
      </c>
      <c r="C44" s="3" t="s">
        <v>135</v>
      </c>
      <c r="D44" s="3">
        <v>46158</v>
      </c>
      <c r="E44" s="3">
        <v>0.41666666666666669</v>
      </c>
      <c r="F44" s="4">
        <v>46158.416669999999</v>
      </c>
      <c r="G44" s="5" t="s">
        <v>396</v>
      </c>
      <c r="H44" s="3" t="s">
        <v>392</v>
      </c>
      <c r="I44" s="3">
        <v>21</v>
      </c>
      <c r="J44" s="3" t="s">
        <v>393</v>
      </c>
      <c r="K44" s="3" t="s">
        <v>398</v>
      </c>
      <c r="L44" s="3" t="s">
        <v>384</v>
      </c>
      <c r="M44" s="3" t="s">
        <v>295</v>
      </c>
      <c r="N44" s="4"/>
      <c r="O44" s="3" t="s">
        <v>430</v>
      </c>
      <c r="P44" s="3" t="s">
        <v>42</v>
      </c>
      <c r="Q44" s="4">
        <v>46158.416669999999</v>
      </c>
      <c r="R44" s="5">
        <v>96</v>
      </c>
      <c r="S44" s="3" t="s">
        <v>239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"/>
  <sheetViews>
    <sheetView workbookViewId="0"/>
  </sheetViews>
  <sheetFormatPr baseColWidth="10" defaultColWidth="9" defaultRowHeight="14.25"/>
  <cols>
    <col min="1" max="10" width="13" customWidth="1"/>
    <col min="11" max="11" width="18" customWidth="1"/>
    <col min="12" max="14" width="13" customWidth="1"/>
    <col min="15" max="16" width="32" customWidth="1"/>
  </cols>
  <sheetData>
    <row r="1" spans="1:16" ht="32.1" customHeight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19</v>
      </c>
      <c r="I1" s="1" t="s">
        <v>113</v>
      </c>
      <c r="J1" s="1" t="s">
        <v>114</v>
      </c>
      <c r="K1" s="1" t="s">
        <v>115</v>
      </c>
      <c r="L1" s="1" t="s">
        <v>431</v>
      </c>
      <c r="M1" s="1" t="s">
        <v>432</v>
      </c>
      <c r="N1" s="1" t="s">
        <v>373</v>
      </c>
      <c r="O1" s="1" t="s">
        <v>116</v>
      </c>
      <c r="P1" s="1" t="s">
        <v>376</v>
      </c>
    </row>
    <row r="2" spans="1:16">
      <c r="A2" s="5">
        <v>2026</v>
      </c>
      <c r="B2" s="3" t="s">
        <v>134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28</v>
      </c>
      <c r="I2" s="3" t="s">
        <v>140</v>
      </c>
      <c r="J2" s="3" t="s">
        <v>141</v>
      </c>
      <c r="K2" s="3">
        <v>2</v>
      </c>
      <c r="L2" s="4" t="s">
        <v>433</v>
      </c>
      <c r="M2" s="3" t="s">
        <v>433</v>
      </c>
      <c r="N2" s="3" t="s">
        <v>384</v>
      </c>
      <c r="O2" s="3" t="s">
        <v>142</v>
      </c>
      <c r="P2" s="3" t="s">
        <v>143</v>
      </c>
    </row>
    <row r="3" spans="1:16">
      <c r="A3" s="5">
        <v>2026</v>
      </c>
      <c r="B3" s="3" t="s">
        <v>134</v>
      </c>
      <c r="C3" s="3" t="s">
        <v>135</v>
      </c>
      <c r="D3" s="3" t="s">
        <v>136</v>
      </c>
      <c r="E3" s="3" t="s">
        <v>191</v>
      </c>
      <c r="F3" s="3" t="s">
        <v>138</v>
      </c>
      <c r="G3" s="3" t="s">
        <v>192</v>
      </c>
      <c r="H3" s="3" t="s">
        <v>31</v>
      </c>
      <c r="I3" s="3" t="s">
        <v>140</v>
      </c>
      <c r="J3" s="3" t="s">
        <v>141</v>
      </c>
      <c r="K3" s="3">
        <v>2</v>
      </c>
      <c r="L3" s="4" t="s">
        <v>433</v>
      </c>
      <c r="M3" s="3" t="s">
        <v>433</v>
      </c>
      <c r="N3" s="3" t="s">
        <v>384</v>
      </c>
      <c r="O3" s="3" t="s">
        <v>193</v>
      </c>
      <c r="P3" s="3" t="s">
        <v>143</v>
      </c>
    </row>
    <row r="4" spans="1:16">
      <c r="A4" s="5">
        <v>2026</v>
      </c>
      <c r="B4" s="3" t="s">
        <v>134</v>
      </c>
      <c r="C4" s="3" t="s">
        <v>135</v>
      </c>
      <c r="D4" s="3" t="s">
        <v>136</v>
      </c>
      <c r="E4" s="3" t="s">
        <v>211</v>
      </c>
      <c r="F4" s="3" t="s">
        <v>212</v>
      </c>
      <c r="G4" s="3" t="s">
        <v>213</v>
      </c>
      <c r="H4" s="3" t="s">
        <v>32</v>
      </c>
      <c r="I4" s="3" t="s">
        <v>140</v>
      </c>
      <c r="J4" s="3" t="s">
        <v>141</v>
      </c>
      <c r="K4" s="3">
        <v>2</v>
      </c>
      <c r="L4" s="4" t="s">
        <v>433</v>
      </c>
      <c r="M4" s="3" t="s">
        <v>433</v>
      </c>
      <c r="N4" s="3" t="s">
        <v>384</v>
      </c>
      <c r="O4" s="3" t="s">
        <v>214</v>
      </c>
      <c r="P4" s="3" t="s">
        <v>215</v>
      </c>
    </row>
    <row r="5" spans="1:16">
      <c r="A5" s="5">
        <v>2026</v>
      </c>
      <c r="B5" s="3" t="s">
        <v>134</v>
      </c>
      <c r="C5" s="3" t="s">
        <v>135</v>
      </c>
      <c r="D5" s="3" t="s">
        <v>296</v>
      </c>
      <c r="E5" s="3" t="s">
        <v>137</v>
      </c>
      <c r="F5" s="3" t="s">
        <v>297</v>
      </c>
      <c r="G5" s="3" t="s">
        <v>213</v>
      </c>
      <c r="H5" s="3" t="s">
        <v>40</v>
      </c>
      <c r="I5" s="3" t="s">
        <v>140</v>
      </c>
      <c r="J5" s="3" t="s">
        <v>141</v>
      </c>
      <c r="K5" s="3">
        <v>2</v>
      </c>
      <c r="L5" s="4">
        <v>46154</v>
      </c>
      <c r="M5" s="3"/>
      <c r="N5" s="3" t="s">
        <v>384</v>
      </c>
      <c r="O5" s="3" t="s">
        <v>298</v>
      </c>
      <c r="P5" s="3" t="s">
        <v>299</v>
      </c>
    </row>
    <row r="6" spans="1:16">
      <c r="A6" s="5">
        <v>2026</v>
      </c>
      <c r="B6" s="3" t="s">
        <v>134</v>
      </c>
      <c r="C6" s="3" t="s">
        <v>135</v>
      </c>
      <c r="D6" s="3" t="s">
        <v>296</v>
      </c>
      <c r="E6" s="3" t="s">
        <v>191</v>
      </c>
      <c r="F6" s="3" t="s">
        <v>321</v>
      </c>
      <c r="G6" s="3" t="s">
        <v>213</v>
      </c>
      <c r="H6" s="3" t="s">
        <v>41</v>
      </c>
      <c r="I6" s="3" t="s">
        <v>140</v>
      </c>
      <c r="J6" s="3" t="s">
        <v>141</v>
      </c>
      <c r="K6" s="3">
        <v>2</v>
      </c>
      <c r="L6" s="4">
        <v>46154</v>
      </c>
      <c r="M6" s="3"/>
      <c r="N6" s="3" t="s">
        <v>384</v>
      </c>
      <c r="O6" s="3" t="s">
        <v>322</v>
      </c>
      <c r="P6" s="3" t="s">
        <v>323</v>
      </c>
    </row>
    <row r="7" spans="1:16">
      <c r="A7" s="5">
        <v>2026</v>
      </c>
      <c r="B7" s="3" t="s">
        <v>134</v>
      </c>
      <c r="C7" s="3" t="s">
        <v>135</v>
      </c>
      <c r="D7" s="3" t="s">
        <v>296</v>
      </c>
      <c r="E7" s="3" t="s">
        <v>211</v>
      </c>
      <c r="F7" s="3" t="s">
        <v>342</v>
      </c>
      <c r="G7" s="3" t="s">
        <v>213</v>
      </c>
      <c r="H7" s="3" t="s">
        <v>42</v>
      </c>
      <c r="I7" s="3" t="s">
        <v>140</v>
      </c>
      <c r="J7" s="3" t="s">
        <v>141</v>
      </c>
      <c r="K7" s="3">
        <v>2</v>
      </c>
      <c r="L7" s="4">
        <v>46154</v>
      </c>
      <c r="M7" s="3"/>
      <c r="N7" s="3" t="s">
        <v>384</v>
      </c>
      <c r="O7" s="3" t="s">
        <v>343</v>
      </c>
      <c r="P7" s="3" t="s">
        <v>344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89"/>
  <sheetViews>
    <sheetView workbookViewId="0"/>
  </sheetViews>
  <sheetFormatPr baseColWidth="10" defaultColWidth="9" defaultRowHeight="14.25"/>
  <cols>
    <col min="1" max="13" width="13" customWidth="1"/>
    <col min="14" max="16" width="32" customWidth="1"/>
    <col min="17" max="17" width="18" customWidth="1"/>
    <col min="18" max="18" width="13" customWidth="1"/>
    <col min="19" max="19" width="32" customWidth="1"/>
  </cols>
  <sheetData>
    <row r="1" spans="1:19" ht="32.1" customHeight="1">
      <c r="A1" s="1" t="s">
        <v>434</v>
      </c>
      <c r="B1" s="1" t="s">
        <v>19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367</v>
      </c>
      <c r="I1" s="1" t="s">
        <v>374</v>
      </c>
      <c r="J1" s="1" t="s">
        <v>87</v>
      </c>
      <c r="K1" s="1" t="s">
        <v>86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376</v>
      </c>
      <c r="Q1" s="1" t="s">
        <v>378</v>
      </c>
      <c r="R1" s="1" t="s">
        <v>435</v>
      </c>
      <c r="S1" s="1" t="s">
        <v>69</v>
      </c>
    </row>
    <row r="2" spans="1:19">
      <c r="A2" s="3" t="s">
        <v>118</v>
      </c>
      <c r="B2" s="3" t="s">
        <v>28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4">
        <v>46177.625</v>
      </c>
      <c r="I2" s="3" t="s">
        <v>130</v>
      </c>
      <c r="J2" s="3" t="s">
        <v>126</v>
      </c>
      <c r="K2" s="5" t="s">
        <v>125</v>
      </c>
      <c r="L2" s="3" t="s">
        <v>127</v>
      </c>
      <c r="M2" s="3">
        <v>50</v>
      </c>
      <c r="N2" s="3" t="s">
        <v>128</v>
      </c>
      <c r="O2" s="3" t="s">
        <v>129</v>
      </c>
      <c r="P2" s="3" t="s">
        <v>436</v>
      </c>
      <c r="Q2" s="4">
        <v>46118.625</v>
      </c>
      <c r="R2" s="5">
        <v>2</v>
      </c>
      <c r="S2" s="3" t="s">
        <v>437</v>
      </c>
    </row>
    <row r="3" spans="1:19">
      <c r="A3" s="3" t="s">
        <v>144</v>
      </c>
      <c r="B3" s="3" t="s">
        <v>28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4">
        <v>46207.333333333336</v>
      </c>
      <c r="I3" s="3" t="s">
        <v>130</v>
      </c>
      <c r="J3" s="3" t="s">
        <v>147</v>
      </c>
      <c r="K3" s="5" t="s">
        <v>146</v>
      </c>
      <c r="L3" s="3" t="s">
        <v>127</v>
      </c>
      <c r="M3" s="3">
        <v>15</v>
      </c>
      <c r="N3" s="3" t="s">
        <v>148</v>
      </c>
      <c r="O3" s="3" t="s">
        <v>149</v>
      </c>
      <c r="P3" s="3" t="s">
        <v>438</v>
      </c>
      <c r="Q3" s="4">
        <v>46119.333333333336</v>
      </c>
      <c r="R3" s="5">
        <v>19</v>
      </c>
      <c r="S3" s="3" t="s">
        <v>145</v>
      </c>
    </row>
    <row r="4" spans="1:19">
      <c r="A4" s="3" t="s">
        <v>150</v>
      </c>
      <c r="B4" s="3" t="s">
        <v>28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139</v>
      </c>
      <c r="H4" s="4">
        <v>46207.625</v>
      </c>
      <c r="I4" s="3" t="s">
        <v>130</v>
      </c>
      <c r="J4" s="3" t="s">
        <v>152</v>
      </c>
      <c r="K4" s="5" t="s">
        <v>146</v>
      </c>
      <c r="L4" s="3" t="s">
        <v>127</v>
      </c>
      <c r="M4" s="3">
        <v>15</v>
      </c>
      <c r="N4" s="3" t="s">
        <v>148</v>
      </c>
      <c r="O4" s="3" t="s">
        <v>149</v>
      </c>
      <c r="P4" s="3" t="s">
        <v>438</v>
      </c>
      <c r="Q4" s="4">
        <v>46119.625</v>
      </c>
      <c r="R4" s="5">
        <v>26</v>
      </c>
      <c r="S4" s="3" t="s">
        <v>151</v>
      </c>
    </row>
    <row r="5" spans="1:19">
      <c r="A5" s="3" t="s">
        <v>153</v>
      </c>
      <c r="B5" s="3" t="s">
        <v>28</v>
      </c>
      <c r="C5" s="3" t="s">
        <v>135</v>
      </c>
      <c r="D5" s="3" t="s">
        <v>136</v>
      </c>
      <c r="E5" s="3" t="s">
        <v>137</v>
      </c>
      <c r="F5" s="3" t="s">
        <v>138</v>
      </c>
      <c r="G5" s="3" t="s">
        <v>139</v>
      </c>
      <c r="H5" s="4">
        <v>46238.333333333336</v>
      </c>
      <c r="I5" s="3" t="s">
        <v>130</v>
      </c>
      <c r="J5" s="3" t="s">
        <v>155</v>
      </c>
      <c r="K5" s="5" t="s">
        <v>146</v>
      </c>
      <c r="L5" s="3" t="s">
        <v>127</v>
      </c>
      <c r="M5" s="3">
        <v>15</v>
      </c>
      <c r="N5" s="3" t="s">
        <v>148</v>
      </c>
      <c r="O5" s="3" t="s">
        <v>149</v>
      </c>
      <c r="P5" s="3" t="s">
        <v>438</v>
      </c>
      <c r="Q5" s="4">
        <v>46120.333333333336</v>
      </c>
      <c r="R5" s="5">
        <v>43</v>
      </c>
      <c r="S5" s="3" t="s">
        <v>154</v>
      </c>
    </row>
    <row r="6" spans="1:19">
      <c r="A6" s="3" t="s">
        <v>156</v>
      </c>
      <c r="B6" s="3" t="s">
        <v>28</v>
      </c>
      <c r="C6" s="3" t="s">
        <v>135</v>
      </c>
      <c r="D6" s="3" t="s">
        <v>136</v>
      </c>
      <c r="E6" s="3" t="s">
        <v>137</v>
      </c>
      <c r="F6" s="3" t="s">
        <v>138</v>
      </c>
      <c r="G6" s="3" t="s">
        <v>139</v>
      </c>
      <c r="H6" s="4">
        <v>46238.625</v>
      </c>
      <c r="I6" s="3" t="s">
        <v>130</v>
      </c>
      <c r="J6" s="3" t="s">
        <v>158</v>
      </c>
      <c r="K6" s="5" t="s">
        <v>125</v>
      </c>
      <c r="L6" s="3" t="s">
        <v>127</v>
      </c>
      <c r="M6" s="3">
        <v>50</v>
      </c>
      <c r="N6" s="3" t="s">
        <v>128</v>
      </c>
      <c r="O6" s="3" t="s">
        <v>159</v>
      </c>
      <c r="P6" s="3" t="s">
        <v>436</v>
      </c>
      <c r="Q6" s="4">
        <v>46120.625</v>
      </c>
      <c r="R6" s="5">
        <v>50</v>
      </c>
      <c r="S6" s="3" t="s">
        <v>157</v>
      </c>
    </row>
    <row r="7" spans="1:19">
      <c r="A7" s="3" t="s">
        <v>160</v>
      </c>
      <c r="B7" s="3" t="s">
        <v>28</v>
      </c>
      <c r="C7" s="3" t="s">
        <v>135</v>
      </c>
      <c r="D7" s="3" t="s">
        <v>136</v>
      </c>
      <c r="E7" s="3" t="s">
        <v>137</v>
      </c>
      <c r="F7" s="3" t="s">
        <v>138</v>
      </c>
      <c r="G7" s="3" t="s">
        <v>139</v>
      </c>
      <c r="H7" s="4">
        <v>46269.333333333336</v>
      </c>
      <c r="I7" s="3" t="s">
        <v>130</v>
      </c>
      <c r="J7" s="3" t="s">
        <v>164</v>
      </c>
      <c r="K7" s="5" t="s">
        <v>146</v>
      </c>
      <c r="L7" s="3" t="s">
        <v>127</v>
      </c>
      <c r="M7" s="3">
        <v>15</v>
      </c>
      <c r="N7" s="3" t="s">
        <v>148</v>
      </c>
      <c r="O7" s="3" t="s">
        <v>149</v>
      </c>
      <c r="P7" s="3" t="s">
        <v>438</v>
      </c>
      <c r="Q7" s="4">
        <v>46121.333333333336</v>
      </c>
      <c r="R7" s="5">
        <v>67</v>
      </c>
      <c r="S7" s="3" t="s">
        <v>161</v>
      </c>
    </row>
    <row r="8" spans="1:19">
      <c r="A8" s="3" t="s">
        <v>165</v>
      </c>
      <c r="B8" s="3" t="s">
        <v>28</v>
      </c>
      <c r="C8" s="3" t="s">
        <v>135</v>
      </c>
      <c r="D8" s="3" t="s">
        <v>136</v>
      </c>
      <c r="E8" s="3" t="s">
        <v>137</v>
      </c>
      <c r="F8" s="3" t="s">
        <v>138</v>
      </c>
      <c r="G8" s="3" t="s">
        <v>139</v>
      </c>
      <c r="H8" s="4">
        <v>46269.625</v>
      </c>
      <c r="I8" s="3" t="s">
        <v>130</v>
      </c>
      <c r="J8" s="3" t="s">
        <v>167</v>
      </c>
      <c r="K8" s="5" t="s">
        <v>146</v>
      </c>
      <c r="L8" s="3" t="s">
        <v>127</v>
      </c>
      <c r="M8" s="3">
        <v>15</v>
      </c>
      <c r="N8" s="3" t="s">
        <v>148</v>
      </c>
      <c r="O8" s="3" t="s">
        <v>149</v>
      </c>
      <c r="P8" s="3" t="s">
        <v>438</v>
      </c>
      <c r="Q8" s="4">
        <v>46121.625</v>
      </c>
      <c r="R8" s="5">
        <v>74</v>
      </c>
      <c r="S8" s="3" t="s">
        <v>166</v>
      </c>
    </row>
    <row r="9" spans="1:19">
      <c r="A9" s="3" t="s">
        <v>168</v>
      </c>
      <c r="B9" s="3" t="s">
        <v>28</v>
      </c>
      <c r="C9" s="3" t="s">
        <v>135</v>
      </c>
      <c r="D9" s="3" t="s">
        <v>136</v>
      </c>
      <c r="E9" s="3" t="s">
        <v>137</v>
      </c>
      <c r="F9" s="3" t="s">
        <v>138</v>
      </c>
      <c r="G9" s="3" t="s">
        <v>139</v>
      </c>
      <c r="H9" s="4">
        <v>46299.333333333336</v>
      </c>
      <c r="I9" s="3" t="s">
        <v>130</v>
      </c>
      <c r="J9" s="3" t="s">
        <v>170</v>
      </c>
      <c r="K9" s="5" t="s">
        <v>125</v>
      </c>
      <c r="L9" s="3" t="s">
        <v>127</v>
      </c>
      <c r="M9" s="3">
        <v>50</v>
      </c>
      <c r="N9" s="3" t="s">
        <v>128</v>
      </c>
      <c r="O9" s="3" t="s">
        <v>159</v>
      </c>
      <c r="P9" s="3" t="s">
        <v>439</v>
      </c>
      <c r="Q9" s="4">
        <v>46122.333333333336</v>
      </c>
      <c r="R9" s="5">
        <v>91</v>
      </c>
      <c r="S9" s="3" t="s">
        <v>169</v>
      </c>
    </row>
    <row r="10" spans="1:19">
      <c r="A10" s="3" t="s">
        <v>171</v>
      </c>
      <c r="B10" s="3" t="s">
        <v>28</v>
      </c>
      <c r="C10" s="3" t="s">
        <v>135</v>
      </c>
      <c r="D10" s="3" t="s">
        <v>136</v>
      </c>
      <c r="E10" s="3" t="s">
        <v>137</v>
      </c>
      <c r="F10" s="3" t="s">
        <v>138</v>
      </c>
      <c r="G10" s="3" t="s">
        <v>139</v>
      </c>
      <c r="H10" s="4">
        <v>46299.625</v>
      </c>
      <c r="I10" s="3" t="s">
        <v>130</v>
      </c>
      <c r="J10" s="3" t="s">
        <v>173</v>
      </c>
      <c r="K10" s="5" t="s">
        <v>146</v>
      </c>
      <c r="L10" s="3" t="s">
        <v>127</v>
      </c>
      <c r="M10" s="3">
        <v>15</v>
      </c>
      <c r="N10" s="3" t="s">
        <v>148</v>
      </c>
      <c r="O10" s="3" t="s">
        <v>149</v>
      </c>
      <c r="P10" s="3" t="s">
        <v>440</v>
      </c>
      <c r="Q10" s="4">
        <v>46122.625</v>
      </c>
      <c r="R10" s="5">
        <v>98</v>
      </c>
      <c r="S10" s="3" t="s">
        <v>172</v>
      </c>
    </row>
    <row r="11" spans="1:19">
      <c r="A11" s="3" t="s">
        <v>174</v>
      </c>
      <c r="B11" s="3" t="s">
        <v>28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139</v>
      </c>
      <c r="H11" s="4">
        <v>46330.333333333336</v>
      </c>
      <c r="I11" s="3" t="s">
        <v>130</v>
      </c>
      <c r="J11" s="3" t="s">
        <v>178</v>
      </c>
      <c r="K11" s="5" t="s">
        <v>146</v>
      </c>
      <c r="L11" s="3" t="s">
        <v>127</v>
      </c>
      <c r="M11" s="3">
        <v>15</v>
      </c>
      <c r="N11" s="3" t="s">
        <v>148</v>
      </c>
      <c r="O11" s="3" t="s">
        <v>149</v>
      </c>
      <c r="P11" s="3" t="s">
        <v>441</v>
      </c>
      <c r="Q11" s="4">
        <v>46123.333333333336</v>
      </c>
      <c r="R11" s="5">
        <v>115</v>
      </c>
      <c r="S11" s="3" t="s">
        <v>175</v>
      </c>
    </row>
    <row r="12" spans="1:19">
      <c r="A12" s="3" t="s">
        <v>179</v>
      </c>
      <c r="B12" s="3" t="s">
        <v>28</v>
      </c>
      <c r="C12" s="3" t="s">
        <v>135</v>
      </c>
      <c r="D12" s="3" t="s">
        <v>136</v>
      </c>
      <c r="E12" s="3" t="s">
        <v>137</v>
      </c>
      <c r="F12" s="3" t="s">
        <v>138</v>
      </c>
      <c r="G12" s="3" t="s">
        <v>139</v>
      </c>
      <c r="H12" s="4">
        <v>46330.625</v>
      </c>
      <c r="I12" s="3" t="s">
        <v>130</v>
      </c>
      <c r="J12" s="3" t="s">
        <v>181</v>
      </c>
      <c r="K12" s="5" t="s">
        <v>146</v>
      </c>
      <c r="L12" s="3" t="s">
        <v>127</v>
      </c>
      <c r="M12" s="3">
        <v>15</v>
      </c>
      <c r="N12" s="3" t="s">
        <v>148</v>
      </c>
      <c r="O12" s="3" t="s">
        <v>149</v>
      </c>
      <c r="P12" s="3" t="s">
        <v>440</v>
      </c>
      <c r="Q12" s="4">
        <v>46123.625</v>
      </c>
      <c r="R12" s="5">
        <v>122</v>
      </c>
      <c r="S12" s="3" t="s">
        <v>180</v>
      </c>
    </row>
    <row r="13" spans="1:19">
      <c r="A13" s="3" t="s">
        <v>182</v>
      </c>
      <c r="B13" s="3" t="s">
        <v>28</v>
      </c>
      <c r="C13" s="3" t="s">
        <v>135</v>
      </c>
      <c r="D13" s="3" t="s">
        <v>136</v>
      </c>
      <c r="E13" s="3" t="s">
        <v>137</v>
      </c>
      <c r="F13" s="3" t="s">
        <v>138</v>
      </c>
      <c r="G13" s="3" t="s">
        <v>139</v>
      </c>
      <c r="H13" s="4">
        <v>46360.625</v>
      </c>
      <c r="I13" s="3" t="s">
        <v>130</v>
      </c>
      <c r="J13" s="3" t="s">
        <v>184</v>
      </c>
      <c r="K13" s="5" t="s">
        <v>125</v>
      </c>
      <c r="L13" s="3" t="s">
        <v>127</v>
      </c>
      <c r="M13" s="3">
        <v>50</v>
      </c>
      <c r="N13" s="3" t="s">
        <v>128</v>
      </c>
      <c r="O13" s="3" t="s">
        <v>159</v>
      </c>
      <c r="P13" s="3" t="s">
        <v>442</v>
      </c>
      <c r="Q13" s="4">
        <v>46124.625</v>
      </c>
      <c r="R13" s="5">
        <v>146</v>
      </c>
      <c r="S13" s="3" t="s">
        <v>183</v>
      </c>
    </row>
    <row r="14" spans="1:19">
      <c r="A14" s="3" t="s">
        <v>185</v>
      </c>
      <c r="B14" s="3" t="s">
        <v>28</v>
      </c>
      <c r="C14" s="3" t="s">
        <v>135</v>
      </c>
      <c r="D14" s="3" t="s">
        <v>136</v>
      </c>
      <c r="E14" s="3" t="s">
        <v>137</v>
      </c>
      <c r="F14" s="3" t="s">
        <v>138</v>
      </c>
      <c r="G14" s="3" t="s">
        <v>139</v>
      </c>
      <c r="H14" s="4" t="s">
        <v>186</v>
      </c>
      <c r="I14" s="3" t="s">
        <v>130</v>
      </c>
      <c r="J14" s="3" t="s">
        <v>188</v>
      </c>
      <c r="K14" s="5" t="s">
        <v>125</v>
      </c>
      <c r="L14" s="3" t="s">
        <v>127</v>
      </c>
      <c r="M14" s="3">
        <v>50</v>
      </c>
      <c r="N14" s="3" t="s">
        <v>128</v>
      </c>
      <c r="O14" s="3" t="s">
        <v>159</v>
      </c>
      <c r="P14" s="3" t="s">
        <v>439</v>
      </c>
      <c r="Q14" s="4">
        <v>46125.333333333336</v>
      </c>
      <c r="R14" s="5">
        <v>163</v>
      </c>
      <c r="S14" s="3" t="s">
        <v>187</v>
      </c>
    </row>
    <row r="15" spans="1:19">
      <c r="A15" s="3" t="s">
        <v>443</v>
      </c>
      <c r="B15" s="3" t="s">
        <v>28</v>
      </c>
      <c r="C15" s="3" t="s">
        <v>135</v>
      </c>
      <c r="D15" s="3" t="s">
        <v>136</v>
      </c>
      <c r="E15" s="3" t="s">
        <v>137</v>
      </c>
      <c r="F15" s="3" t="s">
        <v>138</v>
      </c>
      <c r="G15" s="3" t="s">
        <v>139</v>
      </c>
      <c r="H15" s="4" t="s">
        <v>231</v>
      </c>
      <c r="I15" s="3" t="s">
        <v>130</v>
      </c>
      <c r="J15" s="3" t="s">
        <v>232</v>
      </c>
      <c r="K15" s="5" t="s">
        <v>146</v>
      </c>
      <c r="L15" s="3" t="s">
        <v>127</v>
      </c>
      <c r="M15" s="3">
        <v>15</v>
      </c>
      <c r="N15" s="3" t="s">
        <v>148</v>
      </c>
      <c r="O15" s="3" t="s">
        <v>149</v>
      </c>
      <c r="P15" s="3" t="s">
        <v>440</v>
      </c>
      <c r="Q15" s="4">
        <v>46125.625</v>
      </c>
      <c r="R15" s="5">
        <v>170</v>
      </c>
      <c r="S15" s="3" t="s">
        <v>187</v>
      </c>
    </row>
    <row r="16" spans="1:19">
      <c r="A16" s="3" t="s">
        <v>444</v>
      </c>
      <c r="B16" s="3" t="s">
        <v>28</v>
      </c>
      <c r="C16" s="3" t="s">
        <v>135</v>
      </c>
      <c r="D16" s="3" t="s">
        <v>136</v>
      </c>
      <c r="E16" s="3" t="s">
        <v>137</v>
      </c>
      <c r="F16" s="3" t="s">
        <v>138</v>
      </c>
      <c r="G16" s="3" t="s">
        <v>139</v>
      </c>
      <c r="H16" s="4" t="s">
        <v>445</v>
      </c>
      <c r="I16" s="3" t="s">
        <v>130</v>
      </c>
      <c r="J16" s="3" t="s">
        <v>337</v>
      </c>
      <c r="K16" s="5" t="s">
        <v>146</v>
      </c>
      <c r="L16" s="3" t="s">
        <v>127</v>
      </c>
      <c r="M16" s="3">
        <v>15</v>
      </c>
      <c r="N16" s="3" t="s">
        <v>148</v>
      </c>
      <c r="O16" s="3" t="s">
        <v>149</v>
      </c>
      <c r="P16" s="3" t="s">
        <v>441</v>
      </c>
      <c r="Q16" s="4">
        <v>46126.333333333336</v>
      </c>
      <c r="R16" s="5">
        <v>187</v>
      </c>
      <c r="S16" s="3" t="s">
        <v>187</v>
      </c>
    </row>
    <row r="17" spans="1:19">
      <c r="A17" s="3" t="s">
        <v>446</v>
      </c>
      <c r="B17" s="3" t="s">
        <v>28</v>
      </c>
      <c r="C17" s="3" t="s">
        <v>135</v>
      </c>
      <c r="D17" s="3" t="s">
        <v>136</v>
      </c>
      <c r="E17" s="3" t="s">
        <v>137</v>
      </c>
      <c r="F17" s="3" t="s">
        <v>138</v>
      </c>
      <c r="G17" s="3" t="s">
        <v>139</v>
      </c>
      <c r="H17" s="4" t="s">
        <v>234</v>
      </c>
      <c r="I17" s="3" t="s">
        <v>130</v>
      </c>
      <c r="J17" s="3" t="s">
        <v>235</v>
      </c>
      <c r="K17" s="5" t="s">
        <v>146</v>
      </c>
      <c r="L17" s="3" t="s">
        <v>127</v>
      </c>
      <c r="M17" s="3">
        <v>15</v>
      </c>
      <c r="N17" s="3" t="s">
        <v>148</v>
      </c>
      <c r="O17" s="3" t="s">
        <v>149</v>
      </c>
      <c r="P17" s="3" t="s">
        <v>440</v>
      </c>
      <c r="Q17" s="4">
        <v>46126.625</v>
      </c>
      <c r="R17" s="5">
        <v>194</v>
      </c>
      <c r="S17" s="3" t="s">
        <v>187</v>
      </c>
    </row>
    <row r="18" spans="1:19">
      <c r="A18" s="3" t="s">
        <v>447</v>
      </c>
      <c r="B18" s="3" t="s">
        <v>28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4" t="s">
        <v>448</v>
      </c>
      <c r="I18" s="3" t="s">
        <v>130</v>
      </c>
      <c r="J18" s="3" t="s">
        <v>449</v>
      </c>
      <c r="K18" s="5" t="s">
        <v>125</v>
      </c>
      <c r="L18" s="3" t="s">
        <v>127</v>
      </c>
      <c r="M18" s="3">
        <v>50</v>
      </c>
      <c r="N18" s="3" t="s">
        <v>128</v>
      </c>
      <c r="O18" s="3" t="s">
        <v>159</v>
      </c>
      <c r="P18" s="3" t="s">
        <v>442</v>
      </c>
      <c r="Q18" s="4">
        <v>46127.625</v>
      </c>
      <c r="R18" s="5">
        <v>218</v>
      </c>
      <c r="S18" s="3" t="s">
        <v>187</v>
      </c>
    </row>
    <row r="19" spans="1:19">
      <c r="A19" s="3" t="s">
        <v>450</v>
      </c>
      <c r="B19" s="3" t="s">
        <v>28</v>
      </c>
      <c r="C19" s="3" t="s">
        <v>135</v>
      </c>
      <c r="D19" s="3" t="s">
        <v>136</v>
      </c>
      <c r="E19" s="3" t="s">
        <v>137</v>
      </c>
      <c r="F19" s="3" t="s">
        <v>138</v>
      </c>
      <c r="G19" s="3" t="s">
        <v>139</v>
      </c>
      <c r="H19" s="4" t="s">
        <v>451</v>
      </c>
      <c r="I19" s="3" t="s">
        <v>130</v>
      </c>
      <c r="J19" s="3" t="s">
        <v>452</v>
      </c>
      <c r="K19" s="5" t="s">
        <v>146</v>
      </c>
      <c r="L19" s="3" t="s">
        <v>127</v>
      </c>
      <c r="M19" s="3">
        <v>15</v>
      </c>
      <c r="N19" s="3" t="s">
        <v>148</v>
      </c>
      <c r="O19" s="3" t="s">
        <v>149</v>
      </c>
      <c r="P19" s="3" t="s">
        <v>440</v>
      </c>
      <c r="Q19" s="4">
        <v>46128.625</v>
      </c>
      <c r="R19" s="5">
        <v>242</v>
      </c>
      <c r="S19" s="3" t="s">
        <v>187</v>
      </c>
    </row>
    <row r="20" spans="1:19">
      <c r="A20" s="3" t="s">
        <v>453</v>
      </c>
      <c r="B20" s="3" t="s">
        <v>28</v>
      </c>
      <c r="C20" s="3" t="s">
        <v>135</v>
      </c>
      <c r="D20" s="3" t="s">
        <v>136</v>
      </c>
      <c r="E20" s="3" t="s">
        <v>137</v>
      </c>
      <c r="F20" s="3" t="s">
        <v>138</v>
      </c>
      <c r="G20" s="3" t="s">
        <v>139</v>
      </c>
      <c r="H20" s="4" t="s">
        <v>454</v>
      </c>
      <c r="I20" s="3" t="s">
        <v>130</v>
      </c>
      <c r="J20" s="3" t="s">
        <v>455</v>
      </c>
      <c r="K20" s="5" t="s">
        <v>146</v>
      </c>
      <c r="L20" s="3" t="s">
        <v>127</v>
      </c>
      <c r="M20" s="3">
        <v>15</v>
      </c>
      <c r="N20" s="3" t="s">
        <v>148</v>
      </c>
      <c r="O20" s="3" t="s">
        <v>149</v>
      </c>
      <c r="P20" s="3" t="s">
        <v>440</v>
      </c>
      <c r="Q20" s="4">
        <v>46129.625</v>
      </c>
      <c r="R20" s="5">
        <v>266</v>
      </c>
      <c r="S20" s="3" t="s">
        <v>187</v>
      </c>
    </row>
    <row r="21" spans="1:19">
      <c r="A21" s="3" t="s">
        <v>456</v>
      </c>
      <c r="B21" s="3" t="s">
        <v>28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4" t="s">
        <v>457</v>
      </c>
      <c r="I21" s="3" t="s">
        <v>130</v>
      </c>
      <c r="J21" s="3" t="s">
        <v>458</v>
      </c>
      <c r="K21" s="5" t="s">
        <v>125</v>
      </c>
      <c r="L21" s="3" t="s">
        <v>127</v>
      </c>
      <c r="M21" s="3">
        <v>50</v>
      </c>
      <c r="N21" s="3" t="s">
        <v>128</v>
      </c>
      <c r="O21" s="3" t="s">
        <v>129</v>
      </c>
      <c r="P21" s="3" t="s">
        <v>442</v>
      </c>
      <c r="Q21" s="4">
        <v>46130.625</v>
      </c>
      <c r="R21" s="5">
        <v>290</v>
      </c>
      <c r="S21" s="3" t="s">
        <v>187</v>
      </c>
    </row>
    <row r="22" spans="1:19">
      <c r="A22" s="3" t="s">
        <v>189</v>
      </c>
      <c r="B22" s="3" t="s">
        <v>31</v>
      </c>
      <c r="C22" s="3" t="s">
        <v>135</v>
      </c>
      <c r="D22" s="3" t="s">
        <v>136</v>
      </c>
      <c r="E22" s="3" t="s">
        <v>191</v>
      </c>
      <c r="F22" s="3" t="s">
        <v>138</v>
      </c>
      <c r="G22" s="3" t="s">
        <v>192</v>
      </c>
      <c r="H22" s="4">
        <v>46177.625</v>
      </c>
      <c r="I22" s="3" t="s">
        <v>130</v>
      </c>
      <c r="J22" s="3" t="s">
        <v>126</v>
      </c>
      <c r="K22" s="5" t="s">
        <v>125</v>
      </c>
      <c r="L22" s="3" t="s">
        <v>127</v>
      </c>
      <c r="M22" s="3">
        <v>50</v>
      </c>
      <c r="N22" s="3" t="s">
        <v>128</v>
      </c>
      <c r="O22" s="3" t="s">
        <v>129</v>
      </c>
      <c r="P22" s="3" t="s">
        <v>436</v>
      </c>
      <c r="Q22" s="4">
        <v>46118.625</v>
      </c>
      <c r="R22" s="5">
        <v>2</v>
      </c>
      <c r="S22" s="3" t="s">
        <v>437</v>
      </c>
    </row>
    <row r="23" spans="1:19">
      <c r="A23" s="3" t="s">
        <v>194</v>
      </c>
      <c r="B23" s="3" t="s">
        <v>31</v>
      </c>
      <c r="C23" s="3" t="s">
        <v>135</v>
      </c>
      <c r="D23" s="3" t="s">
        <v>136</v>
      </c>
      <c r="E23" s="3" t="s">
        <v>191</v>
      </c>
      <c r="F23" s="3" t="s">
        <v>138</v>
      </c>
      <c r="G23" s="3" t="s">
        <v>192</v>
      </c>
      <c r="H23" s="4">
        <v>46207.333333333336</v>
      </c>
      <c r="I23" s="3" t="s">
        <v>130</v>
      </c>
      <c r="J23" s="3" t="s">
        <v>147</v>
      </c>
      <c r="K23" s="5" t="s">
        <v>146</v>
      </c>
      <c r="L23" s="3" t="s">
        <v>127</v>
      </c>
      <c r="M23" s="3">
        <v>15</v>
      </c>
      <c r="N23" s="3" t="s">
        <v>148</v>
      </c>
      <c r="O23" s="3" t="s">
        <v>149</v>
      </c>
      <c r="P23" s="3" t="s">
        <v>438</v>
      </c>
      <c r="Q23" s="4">
        <v>46119.333333333336</v>
      </c>
      <c r="R23" s="5">
        <v>19</v>
      </c>
      <c r="S23" s="3" t="s">
        <v>145</v>
      </c>
    </row>
    <row r="24" spans="1:19">
      <c r="A24" s="3" t="s">
        <v>195</v>
      </c>
      <c r="B24" s="3" t="s">
        <v>31</v>
      </c>
      <c r="C24" s="3" t="s">
        <v>135</v>
      </c>
      <c r="D24" s="3" t="s">
        <v>136</v>
      </c>
      <c r="E24" s="3" t="s">
        <v>191</v>
      </c>
      <c r="F24" s="3" t="s">
        <v>138</v>
      </c>
      <c r="G24" s="3" t="s">
        <v>192</v>
      </c>
      <c r="H24" s="4">
        <v>46207.625</v>
      </c>
      <c r="I24" s="3" t="s">
        <v>130</v>
      </c>
      <c r="J24" s="3" t="s">
        <v>152</v>
      </c>
      <c r="K24" s="5" t="s">
        <v>146</v>
      </c>
      <c r="L24" s="3" t="s">
        <v>127</v>
      </c>
      <c r="M24" s="3">
        <v>15</v>
      </c>
      <c r="N24" s="3" t="s">
        <v>148</v>
      </c>
      <c r="O24" s="3" t="s">
        <v>149</v>
      </c>
      <c r="P24" s="3" t="s">
        <v>438</v>
      </c>
      <c r="Q24" s="4">
        <v>46119.625</v>
      </c>
      <c r="R24" s="5">
        <v>26</v>
      </c>
      <c r="S24" s="3" t="s">
        <v>151</v>
      </c>
    </row>
    <row r="25" spans="1:19">
      <c r="A25" s="3" t="s">
        <v>196</v>
      </c>
      <c r="B25" s="3" t="s">
        <v>31</v>
      </c>
      <c r="C25" s="3" t="s">
        <v>135</v>
      </c>
      <c r="D25" s="3" t="s">
        <v>136</v>
      </c>
      <c r="E25" s="3" t="s">
        <v>191</v>
      </c>
      <c r="F25" s="3" t="s">
        <v>138</v>
      </c>
      <c r="G25" s="3" t="s">
        <v>192</v>
      </c>
      <c r="H25" s="4">
        <v>46238.333333333336</v>
      </c>
      <c r="I25" s="3" t="s">
        <v>130</v>
      </c>
      <c r="J25" s="3" t="s">
        <v>155</v>
      </c>
      <c r="K25" s="5" t="s">
        <v>146</v>
      </c>
      <c r="L25" s="3" t="s">
        <v>127</v>
      </c>
      <c r="M25" s="3">
        <v>15</v>
      </c>
      <c r="N25" s="3" t="s">
        <v>148</v>
      </c>
      <c r="O25" s="3" t="s">
        <v>149</v>
      </c>
      <c r="P25" s="3" t="s">
        <v>438</v>
      </c>
      <c r="Q25" s="4">
        <v>46120.333333333336</v>
      </c>
      <c r="R25" s="5">
        <v>43</v>
      </c>
      <c r="S25" s="3" t="s">
        <v>154</v>
      </c>
    </row>
    <row r="26" spans="1:19">
      <c r="A26" s="3" t="s">
        <v>197</v>
      </c>
      <c r="B26" s="3" t="s">
        <v>31</v>
      </c>
      <c r="C26" s="3" t="s">
        <v>135</v>
      </c>
      <c r="D26" s="3" t="s">
        <v>136</v>
      </c>
      <c r="E26" s="3" t="s">
        <v>191</v>
      </c>
      <c r="F26" s="3" t="s">
        <v>138</v>
      </c>
      <c r="G26" s="3" t="s">
        <v>192</v>
      </c>
      <c r="H26" s="4">
        <v>46238.625</v>
      </c>
      <c r="I26" s="3" t="s">
        <v>130</v>
      </c>
      <c r="J26" s="3" t="s">
        <v>158</v>
      </c>
      <c r="K26" s="5" t="s">
        <v>125</v>
      </c>
      <c r="L26" s="3" t="s">
        <v>127</v>
      </c>
      <c r="M26" s="3">
        <v>50</v>
      </c>
      <c r="N26" s="3" t="s">
        <v>128</v>
      </c>
      <c r="O26" s="3" t="s">
        <v>159</v>
      </c>
      <c r="P26" s="3" t="s">
        <v>436</v>
      </c>
      <c r="Q26" s="4">
        <v>46120.625</v>
      </c>
      <c r="R26" s="5">
        <v>50</v>
      </c>
      <c r="S26" s="3" t="s">
        <v>157</v>
      </c>
    </row>
    <row r="27" spans="1:19">
      <c r="A27" s="3" t="s">
        <v>198</v>
      </c>
      <c r="B27" s="3" t="s">
        <v>31</v>
      </c>
      <c r="C27" s="3" t="s">
        <v>135</v>
      </c>
      <c r="D27" s="3" t="s">
        <v>136</v>
      </c>
      <c r="E27" s="3" t="s">
        <v>191</v>
      </c>
      <c r="F27" s="3" t="s">
        <v>138</v>
      </c>
      <c r="G27" s="3" t="s">
        <v>192</v>
      </c>
      <c r="H27" s="4">
        <v>46269.333333333336</v>
      </c>
      <c r="I27" s="3" t="s">
        <v>130</v>
      </c>
      <c r="J27" s="3" t="s">
        <v>164</v>
      </c>
      <c r="K27" s="5" t="s">
        <v>146</v>
      </c>
      <c r="L27" s="3" t="s">
        <v>127</v>
      </c>
      <c r="M27" s="3">
        <v>15</v>
      </c>
      <c r="N27" s="3" t="s">
        <v>148</v>
      </c>
      <c r="O27" s="3" t="s">
        <v>149</v>
      </c>
      <c r="P27" s="3" t="s">
        <v>438</v>
      </c>
      <c r="Q27" s="4">
        <v>46121.333333333336</v>
      </c>
      <c r="R27" s="5">
        <v>67</v>
      </c>
      <c r="S27" s="3" t="s">
        <v>161</v>
      </c>
    </row>
    <row r="28" spans="1:19">
      <c r="A28" s="3" t="s">
        <v>200</v>
      </c>
      <c r="B28" s="3" t="s">
        <v>31</v>
      </c>
      <c r="C28" s="3" t="s">
        <v>135</v>
      </c>
      <c r="D28" s="3" t="s">
        <v>136</v>
      </c>
      <c r="E28" s="3" t="s">
        <v>191</v>
      </c>
      <c r="F28" s="3" t="s">
        <v>138</v>
      </c>
      <c r="G28" s="3" t="s">
        <v>192</v>
      </c>
      <c r="H28" s="4">
        <v>46269.625</v>
      </c>
      <c r="I28" s="3" t="s">
        <v>130</v>
      </c>
      <c r="J28" s="3" t="s">
        <v>167</v>
      </c>
      <c r="K28" s="5" t="s">
        <v>146</v>
      </c>
      <c r="L28" s="3" t="s">
        <v>127</v>
      </c>
      <c r="M28" s="3">
        <v>15</v>
      </c>
      <c r="N28" s="3" t="s">
        <v>148</v>
      </c>
      <c r="O28" s="3" t="s">
        <v>149</v>
      </c>
      <c r="P28" s="3" t="s">
        <v>438</v>
      </c>
      <c r="Q28" s="4">
        <v>46121.625</v>
      </c>
      <c r="R28" s="5">
        <v>74</v>
      </c>
      <c r="S28" s="3" t="s">
        <v>166</v>
      </c>
    </row>
    <row r="29" spans="1:19">
      <c r="A29" s="3" t="s">
        <v>201</v>
      </c>
      <c r="B29" s="3" t="s">
        <v>31</v>
      </c>
      <c r="C29" s="3" t="s">
        <v>135</v>
      </c>
      <c r="D29" s="3" t="s">
        <v>136</v>
      </c>
      <c r="E29" s="3" t="s">
        <v>191</v>
      </c>
      <c r="F29" s="3" t="s">
        <v>138</v>
      </c>
      <c r="G29" s="3" t="s">
        <v>192</v>
      </c>
      <c r="H29" s="4">
        <v>46299.333333333336</v>
      </c>
      <c r="I29" s="3" t="s">
        <v>130</v>
      </c>
      <c r="J29" s="3" t="s">
        <v>170</v>
      </c>
      <c r="K29" s="5" t="s">
        <v>125</v>
      </c>
      <c r="L29" s="3" t="s">
        <v>127</v>
      </c>
      <c r="M29" s="3">
        <v>50</v>
      </c>
      <c r="N29" s="3" t="s">
        <v>128</v>
      </c>
      <c r="O29" s="3" t="s">
        <v>159</v>
      </c>
      <c r="P29" s="3" t="s">
        <v>439</v>
      </c>
      <c r="Q29" s="4">
        <v>46122.333333333336</v>
      </c>
      <c r="R29" s="5">
        <v>91</v>
      </c>
      <c r="S29" s="3" t="s">
        <v>169</v>
      </c>
    </row>
    <row r="30" spans="1:19">
      <c r="A30" s="3" t="s">
        <v>202</v>
      </c>
      <c r="B30" s="3" t="s">
        <v>31</v>
      </c>
      <c r="C30" s="3" t="s">
        <v>135</v>
      </c>
      <c r="D30" s="3" t="s">
        <v>136</v>
      </c>
      <c r="E30" s="3" t="s">
        <v>191</v>
      </c>
      <c r="F30" s="3" t="s">
        <v>138</v>
      </c>
      <c r="G30" s="3" t="s">
        <v>192</v>
      </c>
      <c r="H30" s="4">
        <v>46299.625</v>
      </c>
      <c r="I30" s="3" t="s">
        <v>130</v>
      </c>
      <c r="J30" s="3" t="s">
        <v>173</v>
      </c>
      <c r="K30" s="5" t="s">
        <v>146</v>
      </c>
      <c r="L30" s="3" t="s">
        <v>127</v>
      </c>
      <c r="M30" s="3">
        <v>15</v>
      </c>
      <c r="N30" s="3" t="s">
        <v>148</v>
      </c>
      <c r="O30" s="3" t="s">
        <v>149</v>
      </c>
      <c r="P30" s="3" t="s">
        <v>440</v>
      </c>
      <c r="Q30" s="4">
        <v>46122.625</v>
      </c>
      <c r="R30" s="5">
        <v>98</v>
      </c>
      <c r="S30" s="3" t="s">
        <v>172</v>
      </c>
    </row>
    <row r="31" spans="1:19">
      <c r="A31" s="3" t="s">
        <v>203</v>
      </c>
      <c r="B31" s="3" t="s">
        <v>31</v>
      </c>
      <c r="C31" s="3" t="s">
        <v>135</v>
      </c>
      <c r="D31" s="3" t="s">
        <v>136</v>
      </c>
      <c r="E31" s="3" t="s">
        <v>191</v>
      </c>
      <c r="F31" s="3" t="s">
        <v>138</v>
      </c>
      <c r="G31" s="3" t="s">
        <v>192</v>
      </c>
      <c r="H31" s="4">
        <v>46330.333333333336</v>
      </c>
      <c r="I31" s="3" t="s">
        <v>130</v>
      </c>
      <c r="J31" s="3" t="s">
        <v>178</v>
      </c>
      <c r="K31" s="5" t="s">
        <v>146</v>
      </c>
      <c r="L31" s="3" t="s">
        <v>127</v>
      </c>
      <c r="M31" s="3">
        <v>15</v>
      </c>
      <c r="N31" s="3" t="s">
        <v>148</v>
      </c>
      <c r="O31" s="3" t="s">
        <v>149</v>
      </c>
      <c r="P31" s="3" t="s">
        <v>441</v>
      </c>
      <c r="Q31" s="4">
        <v>46123.333333333336</v>
      </c>
      <c r="R31" s="5">
        <v>115</v>
      </c>
      <c r="S31" s="3" t="s">
        <v>175</v>
      </c>
    </row>
    <row r="32" spans="1:19">
      <c r="A32" s="3" t="s">
        <v>205</v>
      </c>
      <c r="B32" s="3" t="s">
        <v>31</v>
      </c>
      <c r="C32" s="3" t="s">
        <v>135</v>
      </c>
      <c r="D32" s="3" t="s">
        <v>136</v>
      </c>
      <c r="E32" s="3" t="s">
        <v>191</v>
      </c>
      <c r="F32" s="3" t="s">
        <v>138</v>
      </c>
      <c r="G32" s="3" t="s">
        <v>192</v>
      </c>
      <c r="H32" s="4">
        <v>46330.625</v>
      </c>
      <c r="I32" s="3" t="s">
        <v>130</v>
      </c>
      <c r="J32" s="3" t="s">
        <v>181</v>
      </c>
      <c r="K32" s="5" t="s">
        <v>146</v>
      </c>
      <c r="L32" s="3" t="s">
        <v>127</v>
      </c>
      <c r="M32" s="3">
        <v>15</v>
      </c>
      <c r="N32" s="3" t="s">
        <v>148</v>
      </c>
      <c r="O32" s="3" t="s">
        <v>149</v>
      </c>
      <c r="P32" s="3" t="s">
        <v>440</v>
      </c>
      <c r="Q32" s="4">
        <v>46123.625</v>
      </c>
      <c r="R32" s="5">
        <v>122</v>
      </c>
      <c r="S32" s="3" t="s">
        <v>180</v>
      </c>
    </row>
    <row r="33" spans="1:19">
      <c r="A33" s="3" t="s">
        <v>206</v>
      </c>
      <c r="B33" s="3" t="s">
        <v>31</v>
      </c>
      <c r="C33" s="3" t="s">
        <v>135</v>
      </c>
      <c r="D33" s="3" t="s">
        <v>136</v>
      </c>
      <c r="E33" s="3" t="s">
        <v>191</v>
      </c>
      <c r="F33" s="3" t="s">
        <v>138</v>
      </c>
      <c r="G33" s="3" t="s">
        <v>192</v>
      </c>
      <c r="H33" s="4">
        <v>46360.625</v>
      </c>
      <c r="I33" s="3" t="s">
        <v>130</v>
      </c>
      <c r="J33" s="3" t="s">
        <v>184</v>
      </c>
      <c r="K33" s="5" t="s">
        <v>125</v>
      </c>
      <c r="L33" s="3" t="s">
        <v>127</v>
      </c>
      <c r="M33" s="3">
        <v>50</v>
      </c>
      <c r="N33" s="3" t="s">
        <v>128</v>
      </c>
      <c r="O33" s="3" t="s">
        <v>159</v>
      </c>
      <c r="P33" s="3" t="s">
        <v>442</v>
      </c>
      <c r="Q33" s="4">
        <v>46124.625</v>
      </c>
      <c r="R33" s="5">
        <v>146</v>
      </c>
      <c r="S33" s="3" t="s">
        <v>183</v>
      </c>
    </row>
    <row r="34" spans="1:19">
      <c r="A34" s="3" t="s">
        <v>207</v>
      </c>
      <c r="B34" s="3" t="s">
        <v>31</v>
      </c>
      <c r="C34" s="3" t="s">
        <v>135</v>
      </c>
      <c r="D34" s="3" t="s">
        <v>136</v>
      </c>
      <c r="E34" s="3" t="s">
        <v>191</v>
      </c>
      <c r="F34" s="3" t="s">
        <v>138</v>
      </c>
      <c r="G34" s="3" t="s">
        <v>192</v>
      </c>
      <c r="H34" s="4" t="s">
        <v>186</v>
      </c>
      <c r="I34" s="3" t="s">
        <v>130</v>
      </c>
      <c r="J34" s="3" t="s">
        <v>188</v>
      </c>
      <c r="K34" s="5" t="s">
        <v>125</v>
      </c>
      <c r="L34" s="3" t="s">
        <v>127</v>
      </c>
      <c r="M34" s="3">
        <v>50</v>
      </c>
      <c r="N34" s="3" t="s">
        <v>128</v>
      </c>
      <c r="O34" s="3" t="s">
        <v>159</v>
      </c>
      <c r="P34" s="3" t="s">
        <v>439</v>
      </c>
      <c r="Q34" s="4">
        <v>46125.333333333336</v>
      </c>
      <c r="R34" s="5">
        <v>163</v>
      </c>
      <c r="S34" s="3" t="s">
        <v>187</v>
      </c>
    </row>
    <row r="35" spans="1:19">
      <c r="A35" s="3" t="s">
        <v>459</v>
      </c>
      <c r="B35" s="3" t="s">
        <v>31</v>
      </c>
      <c r="C35" s="3" t="s">
        <v>135</v>
      </c>
      <c r="D35" s="3" t="s">
        <v>136</v>
      </c>
      <c r="E35" s="3" t="s">
        <v>191</v>
      </c>
      <c r="F35" s="3" t="s">
        <v>138</v>
      </c>
      <c r="G35" s="3" t="s">
        <v>192</v>
      </c>
      <c r="H35" s="4" t="s">
        <v>231</v>
      </c>
      <c r="I35" s="3" t="s">
        <v>130</v>
      </c>
      <c r="J35" s="3" t="s">
        <v>232</v>
      </c>
      <c r="K35" s="5" t="s">
        <v>146</v>
      </c>
      <c r="L35" s="3" t="s">
        <v>127</v>
      </c>
      <c r="M35" s="3">
        <v>15</v>
      </c>
      <c r="N35" s="3" t="s">
        <v>148</v>
      </c>
      <c r="O35" s="3" t="s">
        <v>149</v>
      </c>
      <c r="P35" s="3" t="s">
        <v>440</v>
      </c>
      <c r="Q35" s="4">
        <v>46125.625</v>
      </c>
      <c r="R35" s="5">
        <v>170</v>
      </c>
      <c r="S35" s="3" t="s">
        <v>187</v>
      </c>
    </row>
    <row r="36" spans="1:19">
      <c r="A36" s="3" t="s">
        <v>460</v>
      </c>
      <c r="B36" s="3" t="s">
        <v>31</v>
      </c>
      <c r="C36" s="3" t="s">
        <v>135</v>
      </c>
      <c r="D36" s="3" t="s">
        <v>136</v>
      </c>
      <c r="E36" s="3" t="s">
        <v>191</v>
      </c>
      <c r="F36" s="3" t="s">
        <v>138</v>
      </c>
      <c r="G36" s="3" t="s">
        <v>192</v>
      </c>
      <c r="H36" s="4" t="s">
        <v>445</v>
      </c>
      <c r="I36" s="3" t="s">
        <v>130</v>
      </c>
      <c r="J36" s="3" t="s">
        <v>337</v>
      </c>
      <c r="K36" s="5" t="s">
        <v>146</v>
      </c>
      <c r="L36" s="3" t="s">
        <v>127</v>
      </c>
      <c r="M36" s="3">
        <v>15</v>
      </c>
      <c r="N36" s="3" t="s">
        <v>148</v>
      </c>
      <c r="O36" s="3" t="s">
        <v>149</v>
      </c>
      <c r="P36" s="3" t="s">
        <v>441</v>
      </c>
      <c r="Q36" s="4">
        <v>46126.333333333336</v>
      </c>
      <c r="R36" s="5">
        <v>187</v>
      </c>
      <c r="S36" s="3" t="s">
        <v>187</v>
      </c>
    </row>
    <row r="37" spans="1:19">
      <c r="A37" s="3" t="s">
        <v>461</v>
      </c>
      <c r="B37" s="3" t="s">
        <v>31</v>
      </c>
      <c r="C37" s="3" t="s">
        <v>135</v>
      </c>
      <c r="D37" s="3" t="s">
        <v>136</v>
      </c>
      <c r="E37" s="3" t="s">
        <v>191</v>
      </c>
      <c r="F37" s="3" t="s">
        <v>138</v>
      </c>
      <c r="G37" s="3" t="s">
        <v>192</v>
      </c>
      <c r="H37" s="4" t="s">
        <v>234</v>
      </c>
      <c r="I37" s="3" t="s">
        <v>130</v>
      </c>
      <c r="J37" s="3" t="s">
        <v>235</v>
      </c>
      <c r="K37" s="5" t="s">
        <v>146</v>
      </c>
      <c r="L37" s="3" t="s">
        <v>127</v>
      </c>
      <c r="M37" s="3">
        <v>15</v>
      </c>
      <c r="N37" s="3" t="s">
        <v>148</v>
      </c>
      <c r="O37" s="3" t="s">
        <v>149</v>
      </c>
      <c r="P37" s="3" t="s">
        <v>440</v>
      </c>
      <c r="Q37" s="4">
        <v>46126.625</v>
      </c>
      <c r="R37" s="5">
        <v>194</v>
      </c>
      <c r="S37" s="3" t="s">
        <v>187</v>
      </c>
    </row>
    <row r="38" spans="1:19">
      <c r="A38" s="3" t="s">
        <v>462</v>
      </c>
      <c r="B38" s="3" t="s">
        <v>31</v>
      </c>
      <c r="C38" s="3" t="s">
        <v>135</v>
      </c>
      <c r="D38" s="3" t="s">
        <v>136</v>
      </c>
      <c r="E38" s="3" t="s">
        <v>191</v>
      </c>
      <c r="F38" s="3" t="s">
        <v>138</v>
      </c>
      <c r="G38" s="3" t="s">
        <v>192</v>
      </c>
      <c r="H38" s="4" t="s">
        <v>448</v>
      </c>
      <c r="I38" s="3" t="s">
        <v>130</v>
      </c>
      <c r="J38" s="3" t="s">
        <v>449</v>
      </c>
      <c r="K38" s="5" t="s">
        <v>125</v>
      </c>
      <c r="L38" s="3" t="s">
        <v>127</v>
      </c>
      <c r="M38" s="3">
        <v>50</v>
      </c>
      <c r="N38" s="3" t="s">
        <v>128</v>
      </c>
      <c r="O38" s="3" t="s">
        <v>159</v>
      </c>
      <c r="P38" s="3" t="s">
        <v>442</v>
      </c>
      <c r="Q38" s="4">
        <v>46127.625</v>
      </c>
      <c r="R38" s="5">
        <v>218</v>
      </c>
      <c r="S38" s="3" t="s">
        <v>187</v>
      </c>
    </row>
    <row r="39" spans="1:19">
      <c r="A39" s="3" t="s">
        <v>463</v>
      </c>
      <c r="B39" s="3" t="s">
        <v>31</v>
      </c>
      <c r="C39" s="3" t="s">
        <v>135</v>
      </c>
      <c r="D39" s="3" t="s">
        <v>136</v>
      </c>
      <c r="E39" s="3" t="s">
        <v>191</v>
      </c>
      <c r="F39" s="3" t="s">
        <v>138</v>
      </c>
      <c r="G39" s="3" t="s">
        <v>192</v>
      </c>
      <c r="H39" s="4" t="s">
        <v>451</v>
      </c>
      <c r="I39" s="3" t="s">
        <v>130</v>
      </c>
      <c r="J39" s="3" t="s">
        <v>452</v>
      </c>
      <c r="K39" s="5" t="s">
        <v>146</v>
      </c>
      <c r="L39" s="3" t="s">
        <v>127</v>
      </c>
      <c r="M39" s="3">
        <v>15</v>
      </c>
      <c r="N39" s="3" t="s">
        <v>148</v>
      </c>
      <c r="O39" s="3" t="s">
        <v>149</v>
      </c>
      <c r="P39" s="3" t="s">
        <v>440</v>
      </c>
      <c r="Q39" s="4">
        <v>46128.625</v>
      </c>
      <c r="R39" s="5">
        <v>242</v>
      </c>
      <c r="S39" s="3" t="s">
        <v>187</v>
      </c>
    </row>
    <row r="40" spans="1:19">
      <c r="A40" s="3" t="s">
        <v>464</v>
      </c>
      <c r="B40" s="3" t="s">
        <v>31</v>
      </c>
      <c r="C40" s="3" t="s">
        <v>135</v>
      </c>
      <c r="D40" s="3" t="s">
        <v>136</v>
      </c>
      <c r="E40" s="3" t="s">
        <v>191</v>
      </c>
      <c r="F40" s="3" t="s">
        <v>138</v>
      </c>
      <c r="G40" s="3" t="s">
        <v>192</v>
      </c>
      <c r="H40" s="4" t="s">
        <v>454</v>
      </c>
      <c r="I40" s="3" t="s">
        <v>130</v>
      </c>
      <c r="J40" s="3" t="s">
        <v>455</v>
      </c>
      <c r="K40" s="5" t="s">
        <v>146</v>
      </c>
      <c r="L40" s="3" t="s">
        <v>127</v>
      </c>
      <c r="M40" s="3">
        <v>15</v>
      </c>
      <c r="N40" s="3" t="s">
        <v>148</v>
      </c>
      <c r="O40" s="3" t="s">
        <v>149</v>
      </c>
      <c r="P40" s="3" t="s">
        <v>440</v>
      </c>
      <c r="Q40" s="4">
        <v>46129.625</v>
      </c>
      <c r="R40" s="5">
        <v>266</v>
      </c>
      <c r="S40" s="3" t="s">
        <v>187</v>
      </c>
    </row>
    <row r="41" spans="1:19">
      <c r="A41" s="3" t="s">
        <v>465</v>
      </c>
      <c r="B41" s="3" t="s">
        <v>31</v>
      </c>
      <c r="C41" s="3" t="s">
        <v>135</v>
      </c>
      <c r="D41" s="3" t="s">
        <v>136</v>
      </c>
      <c r="E41" s="3" t="s">
        <v>191</v>
      </c>
      <c r="F41" s="3" t="s">
        <v>138</v>
      </c>
      <c r="G41" s="3" t="s">
        <v>192</v>
      </c>
      <c r="H41" s="4" t="s">
        <v>457</v>
      </c>
      <c r="I41" s="3" t="s">
        <v>130</v>
      </c>
      <c r="J41" s="3" t="s">
        <v>458</v>
      </c>
      <c r="K41" s="5" t="s">
        <v>125</v>
      </c>
      <c r="L41" s="3" t="s">
        <v>127</v>
      </c>
      <c r="M41" s="3">
        <v>50</v>
      </c>
      <c r="N41" s="3" t="s">
        <v>128</v>
      </c>
      <c r="O41" s="3" t="s">
        <v>129</v>
      </c>
      <c r="P41" s="3" t="s">
        <v>442</v>
      </c>
      <c r="Q41" s="4">
        <v>46130.625</v>
      </c>
      <c r="R41" s="5">
        <v>290</v>
      </c>
      <c r="S41" s="3" t="s">
        <v>187</v>
      </c>
    </row>
    <row r="42" spans="1:19">
      <c r="A42" s="3" t="s">
        <v>208</v>
      </c>
      <c r="B42" s="3" t="s">
        <v>32</v>
      </c>
      <c r="C42" s="3" t="s">
        <v>135</v>
      </c>
      <c r="D42" s="3" t="s">
        <v>136</v>
      </c>
      <c r="E42" s="3" t="s">
        <v>211</v>
      </c>
      <c r="F42" s="3" t="s">
        <v>212</v>
      </c>
      <c r="G42" s="3" t="s">
        <v>213</v>
      </c>
      <c r="H42" s="4">
        <v>46177.625</v>
      </c>
      <c r="I42" s="3" t="s">
        <v>130</v>
      </c>
      <c r="J42" s="3" t="s">
        <v>126</v>
      </c>
      <c r="K42" s="5" t="s">
        <v>125</v>
      </c>
      <c r="L42" s="3" t="s">
        <v>127</v>
      </c>
      <c r="M42" s="3">
        <v>50</v>
      </c>
      <c r="N42" s="3" t="s">
        <v>128</v>
      </c>
      <c r="O42" s="3" t="s">
        <v>129</v>
      </c>
      <c r="P42" s="3" t="s">
        <v>436</v>
      </c>
      <c r="Q42" s="4">
        <v>46118.625</v>
      </c>
      <c r="R42" s="5">
        <v>2</v>
      </c>
      <c r="S42" s="3" t="s">
        <v>437</v>
      </c>
    </row>
    <row r="43" spans="1:19">
      <c r="A43" s="3" t="s">
        <v>216</v>
      </c>
      <c r="B43" s="3" t="s">
        <v>32</v>
      </c>
      <c r="C43" s="3" t="s">
        <v>135</v>
      </c>
      <c r="D43" s="3" t="s">
        <v>136</v>
      </c>
      <c r="E43" s="3" t="s">
        <v>211</v>
      </c>
      <c r="F43" s="3" t="s">
        <v>212</v>
      </c>
      <c r="G43" s="3" t="s">
        <v>213</v>
      </c>
      <c r="H43" s="4">
        <v>46207.333333333336</v>
      </c>
      <c r="I43" s="3" t="s">
        <v>130</v>
      </c>
      <c r="J43" s="3" t="s">
        <v>147</v>
      </c>
      <c r="K43" s="5" t="s">
        <v>146</v>
      </c>
      <c r="L43" s="3" t="s">
        <v>127</v>
      </c>
      <c r="M43" s="3">
        <v>15</v>
      </c>
      <c r="N43" s="3" t="s">
        <v>148</v>
      </c>
      <c r="O43" s="3" t="s">
        <v>149</v>
      </c>
      <c r="P43" s="3" t="s">
        <v>438</v>
      </c>
      <c r="Q43" s="4">
        <v>46119.333333333336</v>
      </c>
      <c r="R43" s="5">
        <v>19</v>
      </c>
      <c r="S43" s="3" t="s">
        <v>145</v>
      </c>
    </row>
    <row r="44" spans="1:19">
      <c r="A44" s="3" t="s">
        <v>217</v>
      </c>
      <c r="B44" s="3" t="s">
        <v>32</v>
      </c>
      <c r="C44" s="3" t="s">
        <v>135</v>
      </c>
      <c r="D44" s="3" t="s">
        <v>136</v>
      </c>
      <c r="E44" s="3" t="s">
        <v>211</v>
      </c>
      <c r="F44" s="3" t="s">
        <v>212</v>
      </c>
      <c r="G44" s="3" t="s">
        <v>213</v>
      </c>
      <c r="H44" s="4">
        <v>46207.625</v>
      </c>
      <c r="I44" s="3" t="s">
        <v>130</v>
      </c>
      <c r="J44" s="3" t="s">
        <v>152</v>
      </c>
      <c r="K44" s="5" t="s">
        <v>146</v>
      </c>
      <c r="L44" s="3" t="s">
        <v>127</v>
      </c>
      <c r="M44" s="3">
        <v>15</v>
      </c>
      <c r="N44" s="3" t="s">
        <v>148</v>
      </c>
      <c r="O44" s="3" t="s">
        <v>149</v>
      </c>
      <c r="P44" s="3" t="s">
        <v>438</v>
      </c>
      <c r="Q44" s="4">
        <v>46119.625</v>
      </c>
      <c r="R44" s="5">
        <v>26</v>
      </c>
      <c r="S44" s="3" t="s">
        <v>151</v>
      </c>
    </row>
    <row r="45" spans="1:19">
      <c r="A45" s="3" t="s">
        <v>218</v>
      </c>
      <c r="B45" s="3" t="s">
        <v>32</v>
      </c>
      <c r="C45" s="3" t="s">
        <v>135</v>
      </c>
      <c r="D45" s="3" t="s">
        <v>136</v>
      </c>
      <c r="E45" s="3" t="s">
        <v>211</v>
      </c>
      <c r="F45" s="3" t="s">
        <v>212</v>
      </c>
      <c r="G45" s="3" t="s">
        <v>213</v>
      </c>
      <c r="H45" s="4">
        <v>46238.333333333336</v>
      </c>
      <c r="I45" s="3" t="s">
        <v>130</v>
      </c>
      <c r="J45" s="3" t="s">
        <v>155</v>
      </c>
      <c r="K45" s="5" t="s">
        <v>146</v>
      </c>
      <c r="L45" s="3" t="s">
        <v>127</v>
      </c>
      <c r="M45" s="3">
        <v>15</v>
      </c>
      <c r="N45" s="3" t="s">
        <v>148</v>
      </c>
      <c r="O45" s="3" t="s">
        <v>149</v>
      </c>
      <c r="P45" s="3" t="s">
        <v>438</v>
      </c>
      <c r="Q45" s="4">
        <v>46120.333333333336</v>
      </c>
      <c r="R45" s="5">
        <v>43</v>
      </c>
      <c r="S45" s="3" t="s">
        <v>154</v>
      </c>
    </row>
    <row r="46" spans="1:19">
      <c r="A46" s="3" t="s">
        <v>219</v>
      </c>
      <c r="B46" s="3" t="s">
        <v>32</v>
      </c>
      <c r="C46" s="3" t="s">
        <v>135</v>
      </c>
      <c r="D46" s="3" t="s">
        <v>136</v>
      </c>
      <c r="E46" s="3" t="s">
        <v>211</v>
      </c>
      <c r="F46" s="3" t="s">
        <v>212</v>
      </c>
      <c r="G46" s="3" t="s">
        <v>213</v>
      </c>
      <c r="H46" s="4">
        <v>46238.625</v>
      </c>
      <c r="I46" s="3" t="s">
        <v>130</v>
      </c>
      <c r="J46" s="3" t="s">
        <v>158</v>
      </c>
      <c r="K46" s="5" t="s">
        <v>125</v>
      </c>
      <c r="L46" s="3" t="s">
        <v>127</v>
      </c>
      <c r="M46" s="3">
        <v>50</v>
      </c>
      <c r="N46" s="3" t="s">
        <v>128</v>
      </c>
      <c r="O46" s="3" t="s">
        <v>159</v>
      </c>
      <c r="P46" s="3" t="s">
        <v>436</v>
      </c>
      <c r="Q46" s="4">
        <v>46120.625</v>
      </c>
      <c r="R46" s="5">
        <v>50</v>
      </c>
      <c r="S46" s="3" t="s">
        <v>157</v>
      </c>
    </row>
    <row r="47" spans="1:19">
      <c r="A47" s="3" t="s">
        <v>220</v>
      </c>
      <c r="B47" s="3" t="s">
        <v>32</v>
      </c>
      <c r="C47" s="3" t="s">
        <v>135</v>
      </c>
      <c r="D47" s="3" t="s">
        <v>136</v>
      </c>
      <c r="E47" s="3" t="s">
        <v>211</v>
      </c>
      <c r="F47" s="3" t="s">
        <v>212</v>
      </c>
      <c r="G47" s="3" t="s">
        <v>213</v>
      </c>
      <c r="H47" s="4">
        <v>46269.333333333336</v>
      </c>
      <c r="I47" s="3" t="s">
        <v>130</v>
      </c>
      <c r="J47" s="3" t="s">
        <v>164</v>
      </c>
      <c r="K47" s="5" t="s">
        <v>146</v>
      </c>
      <c r="L47" s="3" t="s">
        <v>127</v>
      </c>
      <c r="M47" s="3">
        <v>15</v>
      </c>
      <c r="N47" s="3" t="s">
        <v>148</v>
      </c>
      <c r="O47" s="3" t="s">
        <v>149</v>
      </c>
      <c r="P47" s="3" t="s">
        <v>438</v>
      </c>
      <c r="Q47" s="4">
        <v>46121.333333333336</v>
      </c>
      <c r="R47" s="5">
        <v>67</v>
      </c>
      <c r="S47" s="3" t="s">
        <v>161</v>
      </c>
    </row>
    <row r="48" spans="1:19">
      <c r="A48" s="3" t="s">
        <v>221</v>
      </c>
      <c r="B48" s="3" t="s">
        <v>32</v>
      </c>
      <c r="C48" s="3" t="s">
        <v>135</v>
      </c>
      <c r="D48" s="3" t="s">
        <v>136</v>
      </c>
      <c r="E48" s="3" t="s">
        <v>211</v>
      </c>
      <c r="F48" s="3" t="s">
        <v>212</v>
      </c>
      <c r="G48" s="3" t="s">
        <v>213</v>
      </c>
      <c r="H48" s="4">
        <v>46269.625</v>
      </c>
      <c r="I48" s="3" t="s">
        <v>130</v>
      </c>
      <c r="J48" s="3" t="s">
        <v>167</v>
      </c>
      <c r="K48" s="5" t="s">
        <v>146</v>
      </c>
      <c r="L48" s="3" t="s">
        <v>127</v>
      </c>
      <c r="M48" s="3">
        <v>15</v>
      </c>
      <c r="N48" s="3" t="s">
        <v>148</v>
      </c>
      <c r="O48" s="3" t="s">
        <v>149</v>
      </c>
      <c r="P48" s="3" t="s">
        <v>438</v>
      </c>
      <c r="Q48" s="4">
        <v>46121.625</v>
      </c>
      <c r="R48" s="5">
        <v>74</v>
      </c>
      <c r="S48" s="3" t="s">
        <v>166</v>
      </c>
    </row>
    <row r="49" spans="1:19">
      <c r="A49" s="3" t="s">
        <v>222</v>
      </c>
      <c r="B49" s="3" t="s">
        <v>32</v>
      </c>
      <c r="C49" s="3" t="s">
        <v>135</v>
      </c>
      <c r="D49" s="3" t="s">
        <v>136</v>
      </c>
      <c r="E49" s="3" t="s">
        <v>211</v>
      </c>
      <c r="F49" s="3" t="s">
        <v>212</v>
      </c>
      <c r="G49" s="3" t="s">
        <v>213</v>
      </c>
      <c r="H49" s="4">
        <v>46299.625</v>
      </c>
      <c r="I49" s="3" t="s">
        <v>130</v>
      </c>
      <c r="J49" s="3" t="s">
        <v>173</v>
      </c>
      <c r="K49" s="5" t="s">
        <v>146</v>
      </c>
      <c r="L49" s="3" t="s">
        <v>127</v>
      </c>
      <c r="M49" s="3">
        <v>15</v>
      </c>
      <c r="N49" s="3" t="s">
        <v>148</v>
      </c>
      <c r="O49" s="3" t="s">
        <v>149</v>
      </c>
      <c r="P49" s="3" t="s">
        <v>440</v>
      </c>
      <c r="Q49" s="4">
        <v>46122.625</v>
      </c>
      <c r="R49" s="5">
        <v>98</v>
      </c>
      <c r="S49" s="3" t="s">
        <v>172</v>
      </c>
    </row>
    <row r="50" spans="1:19">
      <c r="A50" s="3" t="s">
        <v>224</v>
      </c>
      <c r="B50" s="3" t="s">
        <v>32</v>
      </c>
      <c r="C50" s="3" t="s">
        <v>135</v>
      </c>
      <c r="D50" s="3" t="s">
        <v>136</v>
      </c>
      <c r="E50" s="3" t="s">
        <v>211</v>
      </c>
      <c r="F50" s="3" t="s">
        <v>212</v>
      </c>
      <c r="G50" s="3" t="s">
        <v>213</v>
      </c>
      <c r="H50" s="4">
        <v>46330.333333333336</v>
      </c>
      <c r="I50" s="3" t="s">
        <v>130</v>
      </c>
      <c r="J50" s="3" t="s">
        <v>170</v>
      </c>
      <c r="K50" s="5" t="s">
        <v>125</v>
      </c>
      <c r="L50" s="3" t="s">
        <v>127</v>
      </c>
      <c r="M50" s="3">
        <v>50</v>
      </c>
      <c r="N50" s="3" t="s">
        <v>128</v>
      </c>
      <c r="O50" s="3" t="s">
        <v>159</v>
      </c>
      <c r="P50" s="3" t="s">
        <v>439</v>
      </c>
      <c r="Q50" s="4">
        <v>46123.333333333336</v>
      </c>
      <c r="R50" s="5">
        <v>115</v>
      </c>
      <c r="S50" s="3" t="s">
        <v>175</v>
      </c>
    </row>
    <row r="51" spans="1:19">
      <c r="A51" s="3" t="s">
        <v>225</v>
      </c>
      <c r="B51" s="3" t="s">
        <v>32</v>
      </c>
      <c r="C51" s="3" t="s">
        <v>135</v>
      </c>
      <c r="D51" s="3" t="s">
        <v>136</v>
      </c>
      <c r="E51" s="3" t="s">
        <v>211</v>
      </c>
      <c r="F51" s="3" t="s">
        <v>212</v>
      </c>
      <c r="G51" s="3" t="s">
        <v>213</v>
      </c>
      <c r="H51" s="4">
        <v>46330.625</v>
      </c>
      <c r="I51" s="3" t="s">
        <v>130</v>
      </c>
      <c r="J51" s="3" t="s">
        <v>181</v>
      </c>
      <c r="K51" s="5" t="s">
        <v>146</v>
      </c>
      <c r="L51" s="3" t="s">
        <v>127</v>
      </c>
      <c r="M51" s="3">
        <v>15</v>
      </c>
      <c r="N51" s="3" t="s">
        <v>148</v>
      </c>
      <c r="O51" s="3" t="s">
        <v>149</v>
      </c>
      <c r="P51" s="3" t="s">
        <v>440</v>
      </c>
      <c r="Q51" s="4">
        <v>46123.625</v>
      </c>
      <c r="R51" s="5">
        <v>122</v>
      </c>
      <c r="S51" s="3" t="s">
        <v>180</v>
      </c>
    </row>
    <row r="52" spans="1:19">
      <c r="A52" s="3" t="s">
        <v>226</v>
      </c>
      <c r="B52" s="3" t="s">
        <v>32</v>
      </c>
      <c r="C52" s="3" t="s">
        <v>135</v>
      </c>
      <c r="D52" s="3" t="s">
        <v>136</v>
      </c>
      <c r="E52" s="3" t="s">
        <v>211</v>
      </c>
      <c r="F52" s="3" t="s">
        <v>212</v>
      </c>
      <c r="G52" s="3" t="s">
        <v>213</v>
      </c>
      <c r="H52" s="4">
        <v>46360.333333333336</v>
      </c>
      <c r="I52" s="3" t="s">
        <v>130</v>
      </c>
      <c r="J52" s="3" t="s">
        <v>178</v>
      </c>
      <c r="K52" s="5" t="s">
        <v>146</v>
      </c>
      <c r="L52" s="3" t="s">
        <v>127</v>
      </c>
      <c r="M52" s="3">
        <v>15</v>
      </c>
      <c r="N52" s="3" t="s">
        <v>148</v>
      </c>
      <c r="O52" s="3" t="s">
        <v>149</v>
      </c>
      <c r="P52" s="3" t="s">
        <v>441</v>
      </c>
      <c r="Q52" s="4">
        <v>46124.333333333336</v>
      </c>
      <c r="R52" s="5">
        <v>139</v>
      </c>
      <c r="S52" s="3" t="s">
        <v>227</v>
      </c>
    </row>
    <row r="53" spans="1:19">
      <c r="A53" s="3" t="s">
        <v>229</v>
      </c>
      <c r="B53" s="3" t="s">
        <v>32</v>
      </c>
      <c r="C53" s="3" t="s">
        <v>135</v>
      </c>
      <c r="D53" s="3" t="s">
        <v>136</v>
      </c>
      <c r="E53" s="3" t="s">
        <v>211</v>
      </c>
      <c r="F53" s="3" t="s">
        <v>212</v>
      </c>
      <c r="G53" s="3" t="s">
        <v>213</v>
      </c>
      <c r="H53" s="4">
        <v>46360.625</v>
      </c>
      <c r="I53" s="3" t="s">
        <v>130</v>
      </c>
      <c r="J53" s="3" t="s">
        <v>184</v>
      </c>
      <c r="K53" s="5" t="s">
        <v>125</v>
      </c>
      <c r="L53" s="3" t="s">
        <v>127</v>
      </c>
      <c r="M53" s="3">
        <v>50</v>
      </c>
      <c r="N53" s="3" t="s">
        <v>128</v>
      </c>
      <c r="O53" s="3" t="s">
        <v>159</v>
      </c>
      <c r="P53" s="3" t="s">
        <v>442</v>
      </c>
      <c r="Q53" s="4">
        <v>46124.625</v>
      </c>
      <c r="R53" s="5">
        <v>146</v>
      </c>
      <c r="S53" s="3" t="s">
        <v>183</v>
      </c>
    </row>
    <row r="54" spans="1:19">
      <c r="A54" s="3" t="s">
        <v>230</v>
      </c>
      <c r="B54" s="3" t="s">
        <v>32</v>
      </c>
      <c r="C54" s="3" t="s">
        <v>135</v>
      </c>
      <c r="D54" s="3" t="s">
        <v>136</v>
      </c>
      <c r="E54" s="3" t="s">
        <v>211</v>
      </c>
      <c r="F54" s="3" t="s">
        <v>212</v>
      </c>
      <c r="G54" s="3" t="s">
        <v>213</v>
      </c>
      <c r="H54" s="4" t="s">
        <v>231</v>
      </c>
      <c r="I54" s="3" t="s">
        <v>130</v>
      </c>
      <c r="J54" s="3" t="s">
        <v>232</v>
      </c>
      <c r="K54" s="5" t="s">
        <v>146</v>
      </c>
      <c r="L54" s="3" t="s">
        <v>127</v>
      </c>
      <c r="M54" s="3">
        <v>15</v>
      </c>
      <c r="N54" s="3" t="s">
        <v>148</v>
      </c>
      <c r="O54" s="3" t="s">
        <v>149</v>
      </c>
      <c r="P54" s="3" t="s">
        <v>440</v>
      </c>
      <c r="Q54" s="4">
        <v>46125.625</v>
      </c>
      <c r="R54" s="5">
        <v>170</v>
      </c>
      <c r="S54" s="3" t="s">
        <v>187</v>
      </c>
    </row>
    <row r="55" spans="1:19">
      <c r="A55" s="3" t="s">
        <v>233</v>
      </c>
      <c r="B55" s="3" t="s">
        <v>32</v>
      </c>
      <c r="C55" s="3" t="s">
        <v>135</v>
      </c>
      <c r="D55" s="3" t="s">
        <v>136</v>
      </c>
      <c r="E55" s="3" t="s">
        <v>211</v>
      </c>
      <c r="F55" s="3" t="s">
        <v>212</v>
      </c>
      <c r="G55" s="3" t="s">
        <v>213</v>
      </c>
      <c r="H55" s="4" t="s">
        <v>234</v>
      </c>
      <c r="I55" s="3" t="s">
        <v>130</v>
      </c>
      <c r="J55" s="3" t="s">
        <v>235</v>
      </c>
      <c r="K55" s="5" t="s">
        <v>146</v>
      </c>
      <c r="L55" s="3" t="s">
        <v>127</v>
      </c>
      <c r="M55" s="3">
        <v>15</v>
      </c>
      <c r="N55" s="3" t="s">
        <v>148</v>
      </c>
      <c r="O55" s="3" t="s">
        <v>149</v>
      </c>
      <c r="P55" s="3" t="s">
        <v>440</v>
      </c>
      <c r="Q55" s="4">
        <v>46126.625</v>
      </c>
      <c r="R55" s="5">
        <v>194</v>
      </c>
      <c r="S55" s="3" t="s">
        <v>187</v>
      </c>
    </row>
    <row r="56" spans="1:19">
      <c r="A56" s="3" t="s">
        <v>236</v>
      </c>
      <c r="B56" s="3" t="s">
        <v>32</v>
      </c>
      <c r="C56" s="3" t="s">
        <v>135</v>
      </c>
      <c r="D56" s="3" t="s">
        <v>136</v>
      </c>
      <c r="E56" s="3" t="s">
        <v>211</v>
      </c>
      <c r="F56" s="3" t="s">
        <v>212</v>
      </c>
      <c r="G56" s="3" t="s">
        <v>213</v>
      </c>
      <c r="H56" s="4" t="s">
        <v>237</v>
      </c>
      <c r="I56" s="3" t="s">
        <v>130</v>
      </c>
      <c r="J56" s="3" t="s">
        <v>188</v>
      </c>
      <c r="K56" s="5" t="s">
        <v>125</v>
      </c>
      <c r="L56" s="3" t="s">
        <v>127</v>
      </c>
      <c r="M56" s="3">
        <v>50</v>
      </c>
      <c r="N56" s="3" t="s">
        <v>128</v>
      </c>
      <c r="O56" s="3" t="s">
        <v>159</v>
      </c>
      <c r="P56" s="3" t="s">
        <v>439</v>
      </c>
      <c r="Q56" s="4">
        <v>46127.333333333336</v>
      </c>
      <c r="R56" s="5">
        <v>211</v>
      </c>
      <c r="S56" s="3" t="s">
        <v>187</v>
      </c>
    </row>
    <row r="57" spans="1:19">
      <c r="A57" s="3" t="s">
        <v>466</v>
      </c>
      <c r="B57" s="3" t="s">
        <v>32</v>
      </c>
      <c r="C57" s="3" t="s">
        <v>135</v>
      </c>
      <c r="D57" s="3" t="s">
        <v>136</v>
      </c>
      <c r="E57" s="3" t="s">
        <v>211</v>
      </c>
      <c r="F57" s="3" t="s">
        <v>212</v>
      </c>
      <c r="G57" s="3" t="s">
        <v>213</v>
      </c>
      <c r="H57" s="4" t="s">
        <v>448</v>
      </c>
      <c r="I57" s="3" t="s">
        <v>130</v>
      </c>
      <c r="J57" s="3" t="s">
        <v>449</v>
      </c>
      <c r="K57" s="5" t="s">
        <v>125</v>
      </c>
      <c r="L57" s="3" t="s">
        <v>127</v>
      </c>
      <c r="M57" s="3">
        <v>50</v>
      </c>
      <c r="N57" s="3" t="s">
        <v>128</v>
      </c>
      <c r="O57" s="3" t="s">
        <v>159</v>
      </c>
      <c r="P57" s="3" t="s">
        <v>442</v>
      </c>
      <c r="Q57" s="4">
        <v>46127.625</v>
      </c>
      <c r="R57" s="5">
        <v>218</v>
      </c>
      <c r="S57" s="3" t="s">
        <v>187</v>
      </c>
    </row>
    <row r="58" spans="1:19">
      <c r="A58" s="3" t="s">
        <v>467</v>
      </c>
      <c r="B58" s="3" t="s">
        <v>32</v>
      </c>
      <c r="C58" s="3" t="s">
        <v>135</v>
      </c>
      <c r="D58" s="3" t="s">
        <v>136</v>
      </c>
      <c r="E58" s="3" t="s">
        <v>211</v>
      </c>
      <c r="F58" s="3" t="s">
        <v>212</v>
      </c>
      <c r="G58" s="3" t="s">
        <v>213</v>
      </c>
      <c r="H58" s="4" t="s">
        <v>468</v>
      </c>
      <c r="I58" s="3" t="s">
        <v>130</v>
      </c>
      <c r="J58" s="3" t="s">
        <v>337</v>
      </c>
      <c r="K58" s="5" t="s">
        <v>146</v>
      </c>
      <c r="L58" s="3" t="s">
        <v>127</v>
      </c>
      <c r="M58" s="3">
        <v>15</v>
      </c>
      <c r="N58" s="3" t="s">
        <v>148</v>
      </c>
      <c r="O58" s="3" t="s">
        <v>149</v>
      </c>
      <c r="P58" s="3" t="s">
        <v>441</v>
      </c>
      <c r="Q58" s="4">
        <v>46128.333333333336</v>
      </c>
      <c r="R58" s="5">
        <v>235</v>
      </c>
      <c r="S58" s="3" t="s">
        <v>187</v>
      </c>
    </row>
    <row r="59" spans="1:19">
      <c r="A59" s="3" t="s">
        <v>469</v>
      </c>
      <c r="B59" s="3" t="s">
        <v>32</v>
      </c>
      <c r="C59" s="3" t="s">
        <v>135</v>
      </c>
      <c r="D59" s="3" t="s">
        <v>136</v>
      </c>
      <c r="E59" s="3" t="s">
        <v>211</v>
      </c>
      <c r="F59" s="3" t="s">
        <v>212</v>
      </c>
      <c r="G59" s="3" t="s">
        <v>213</v>
      </c>
      <c r="H59" s="4" t="s">
        <v>451</v>
      </c>
      <c r="I59" s="3" t="s">
        <v>130</v>
      </c>
      <c r="J59" s="3" t="s">
        <v>452</v>
      </c>
      <c r="K59" s="5" t="s">
        <v>146</v>
      </c>
      <c r="L59" s="3" t="s">
        <v>127</v>
      </c>
      <c r="M59" s="3">
        <v>15</v>
      </c>
      <c r="N59" s="3" t="s">
        <v>148</v>
      </c>
      <c r="O59" s="3" t="s">
        <v>149</v>
      </c>
      <c r="P59" s="3" t="s">
        <v>440</v>
      </c>
      <c r="Q59" s="4">
        <v>46128.625</v>
      </c>
      <c r="R59" s="5">
        <v>242</v>
      </c>
      <c r="S59" s="3" t="s">
        <v>187</v>
      </c>
    </row>
    <row r="60" spans="1:19">
      <c r="A60" s="3" t="s">
        <v>470</v>
      </c>
      <c r="B60" s="3" t="s">
        <v>32</v>
      </c>
      <c r="C60" s="3" t="s">
        <v>135</v>
      </c>
      <c r="D60" s="3" t="s">
        <v>136</v>
      </c>
      <c r="E60" s="3" t="s">
        <v>211</v>
      </c>
      <c r="F60" s="3" t="s">
        <v>212</v>
      </c>
      <c r="G60" s="3" t="s">
        <v>213</v>
      </c>
      <c r="H60" s="4" t="s">
        <v>454</v>
      </c>
      <c r="I60" s="3" t="s">
        <v>130</v>
      </c>
      <c r="J60" s="3" t="s">
        <v>455</v>
      </c>
      <c r="K60" s="5" t="s">
        <v>146</v>
      </c>
      <c r="L60" s="3" t="s">
        <v>127</v>
      </c>
      <c r="M60" s="3">
        <v>15</v>
      </c>
      <c r="N60" s="3" t="s">
        <v>148</v>
      </c>
      <c r="O60" s="3" t="s">
        <v>149</v>
      </c>
      <c r="P60" s="3" t="s">
        <v>440</v>
      </c>
      <c r="Q60" s="4">
        <v>46129.625</v>
      </c>
      <c r="R60" s="5">
        <v>266</v>
      </c>
      <c r="S60" s="3" t="s">
        <v>187</v>
      </c>
    </row>
    <row r="61" spans="1:19">
      <c r="A61" s="3" t="s">
        <v>471</v>
      </c>
      <c r="B61" s="3" t="s">
        <v>32</v>
      </c>
      <c r="C61" s="3" t="s">
        <v>135</v>
      </c>
      <c r="D61" s="3" t="s">
        <v>136</v>
      </c>
      <c r="E61" s="3" t="s">
        <v>211</v>
      </c>
      <c r="F61" s="3" t="s">
        <v>212</v>
      </c>
      <c r="G61" s="3" t="s">
        <v>213</v>
      </c>
      <c r="H61" s="4" t="s">
        <v>457</v>
      </c>
      <c r="I61" s="3" t="s">
        <v>130</v>
      </c>
      <c r="J61" s="3" t="s">
        <v>458</v>
      </c>
      <c r="K61" s="5" t="s">
        <v>125</v>
      </c>
      <c r="L61" s="3" t="s">
        <v>127</v>
      </c>
      <c r="M61" s="3">
        <v>50</v>
      </c>
      <c r="N61" s="3" t="s">
        <v>128</v>
      </c>
      <c r="O61" s="3" t="s">
        <v>129</v>
      </c>
      <c r="P61" s="3" t="s">
        <v>442</v>
      </c>
      <c r="Q61" s="4">
        <v>46130.625</v>
      </c>
      <c r="R61" s="5">
        <v>290</v>
      </c>
      <c r="S61" s="3" t="s">
        <v>187</v>
      </c>
    </row>
    <row r="62" spans="1:19">
      <c r="A62" s="3" t="s">
        <v>289</v>
      </c>
      <c r="B62" s="3" t="s">
        <v>40</v>
      </c>
      <c r="C62" s="3" t="s">
        <v>135</v>
      </c>
      <c r="D62" s="3" t="s">
        <v>296</v>
      </c>
      <c r="E62" s="3" t="s">
        <v>137</v>
      </c>
      <c r="F62" s="3" t="s">
        <v>297</v>
      </c>
      <c r="G62" s="3" t="s">
        <v>213</v>
      </c>
      <c r="H62" s="4">
        <v>46154.416666666664</v>
      </c>
      <c r="I62" s="3" t="s">
        <v>295</v>
      </c>
      <c r="J62" s="3" t="s">
        <v>126</v>
      </c>
      <c r="K62" s="5" t="s">
        <v>125</v>
      </c>
      <c r="L62" s="3" t="s">
        <v>127</v>
      </c>
      <c r="M62" s="3">
        <v>50</v>
      </c>
      <c r="N62" s="3" t="s">
        <v>128</v>
      </c>
      <c r="O62" s="3" t="s">
        <v>294</v>
      </c>
      <c r="P62" s="3" t="s">
        <v>472</v>
      </c>
      <c r="Q62" s="4">
        <v>46154.416666666664</v>
      </c>
      <c r="R62" s="5">
        <v>0</v>
      </c>
      <c r="S62" s="3" t="s">
        <v>239</v>
      </c>
    </row>
    <row r="63" spans="1:19">
      <c r="A63" s="3" t="s">
        <v>300</v>
      </c>
      <c r="B63" s="3" t="s">
        <v>40</v>
      </c>
      <c r="C63" s="3" t="s">
        <v>135</v>
      </c>
      <c r="D63" s="3" t="s">
        <v>296</v>
      </c>
      <c r="E63" s="3" t="s">
        <v>137</v>
      </c>
      <c r="F63" s="3" t="s">
        <v>297</v>
      </c>
      <c r="G63" s="3" t="s">
        <v>213</v>
      </c>
      <c r="H63" s="4">
        <v>46154.916666666664</v>
      </c>
      <c r="I63" s="3" t="s">
        <v>295</v>
      </c>
      <c r="J63" s="3" t="s">
        <v>147</v>
      </c>
      <c r="K63" s="5" t="s">
        <v>146</v>
      </c>
      <c r="L63" s="3" t="s">
        <v>127</v>
      </c>
      <c r="M63" s="3">
        <v>15</v>
      </c>
      <c r="N63" s="3" t="s">
        <v>148</v>
      </c>
      <c r="O63" s="3" t="s">
        <v>301</v>
      </c>
      <c r="P63" s="3" t="s">
        <v>473</v>
      </c>
      <c r="Q63" s="4">
        <v>46154.916666666664</v>
      </c>
      <c r="R63" s="5">
        <v>12</v>
      </c>
      <c r="S63" s="3" t="s">
        <v>239</v>
      </c>
    </row>
    <row r="64" spans="1:19">
      <c r="A64" s="3" t="s">
        <v>302</v>
      </c>
      <c r="B64" s="3" t="s">
        <v>40</v>
      </c>
      <c r="C64" s="3" t="s">
        <v>135</v>
      </c>
      <c r="D64" s="3" t="s">
        <v>296</v>
      </c>
      <c r="E64" s="3" t="s">
        <v>137</v>
      </c>
      <c r="F64" s="3" t="s">
        <v>297</v>
      </c>
      <c r="G64" s="3" t="s">
        <v>213</v>
      </c>
      <c r="H64" s="4">
        <v>46155.416666666664</v>
      </c>
      <c r="I64" s="3" t="s">
        <v>295</v>
      </c>
      <c r="J64" s="3" t="s">
        <v>152</v>
      </c>
      <c r="K64" s="5" t="s">
        <v>146</v>
      </c>
      <c r="L64" s="3" t="s">
        <v>127</v>
      </c>
      <c r="M64" s="3">
        <v>15</v>
      </c>
      <c r="N64" s="3" t="s">
        <v>148</v>
      </c>
      <c r="O64" s="3" t="s">
        <v>301</v>
      </c>
      <c r="P64" s="3" t="s">
        <v>474</v>
      </c>
      <c r="Q64" s="4">
        <v>46155.416666666664</v>
      </c>
      <c r="R64" s="5">
        <v>24</v>
      </c>
      <c r="S64" s="3" t="s">
        <v>239</v>
      </c>
    </row>
    <row r="65" spans="1:19">
      <c r="A65" s="3" t="s">
        <v>304</v>
      </c>
      <c r="B65" s="3" t="s">
        <v>40</v>
      </c>
      <c r="C65" s="3" t="s">
        <v>135</v>
      </c>
      <c r="D65" s="3" t="s">
        <v>296</v>
      </c>
      <c r="E65" s="3" t="s">
        <v>137</v>
      </c>
      <c r="F65" s="3" t="s">
        <v>297</v>
      </c>
      <c r="G65" s="3" t="s">
        <v>213</v>
      </c>
      <c r="H65" s="4">
        <v>46156.416666666664</v>
      </c>
      <c r="I65" s="3" t="s">
        <v>295</v>
      </c>
      <c r="J65" s="3" t="s">
        <v>158</v>
      </c>
      <c r="K65" s="5" t="s">
        <v>146</v>
      </c>
      <c r="L65" s="3" t="s">
        <v>127</v>
      </c>
      <c r="M65" s="3">
        <v>15</v>
      </c>
      <c r="N65" s="3" t="s">
        <v>148</v>
      </c>
      <c r="O65" s="3" t="s">
        <v>301</v>
      </c>
      <c r="P65" s="3" t="s">
        <v>475</v>
      </c>
      <c r="Q65" s="4">
        <v>46156.416666666664</v>
      </c>
      <c r="R65" s="5">
        <v>48</v>
      </c>
      <c r="S65" s="3" t="s">
        <v>239</v>
      </c>
    </row>
    <row r="66" spans="1:19">
      <c r="A66" s="3" t="s">
        <v>307</v>
      </c>
      <c r="B66" s="3" t="s">
        <v>40</v>
      </c>
      <c r="C66" s="3" t="s">
        <v>135</v>
      </c>
      <c r="D66" s="3" t="s">
        <v>296</v>
      </c>
      <c r="E66" s="3" t="s">
        <v>137</v>
      </c>
      <c r="F66" s="3" t="s">
        <v>297</v>
      </c>
      <c r="G66" s="3" t="s">
        <v>213</v>
      </c>
      <c r="H66" s="4">
        <v>46157.916666666664</v>
      </c>
      <c r="I66" s="3" t="s">
        <v>295</v>
      </c>
      <c r="J66" s="3" t="s">
        <v>309</v>
      </c>
      <c r="K66" s="5" t="s">
        <v>125</v>
      </c>
      <c r="L66" s="3" t="s">
        <v>127</v>
      </c>
      <c r="M66" s="3">
        <v>50</v>
      </c>
      <c r="N66" s="3" t="s">
        <v>128</v>
      </c>
      <c r="O66" s="3" t="s">
        <v>310</v>
      </c>
      <c r="P66" s="3" t="s">
        <v>476</v>
      </c>
      <c r="Q66" s="4">
        <v>46157.916666666664</v>
      </c>
      <c r="R66" s="5">
        <v>84</v>
      </c>
      <c r="S66" s="3" t="s">
        <v>239</v>
      </c>
    </row>
    <row r="67" spans="1:19">
      <c r="A67" s="3" t="s">
        <v>305</v>
      </c>
      <c r="B67" s="3" t="s">
        <v>40</v>
      </c>
      <c r="C67" s="3" t="s">
        <v>135</v>
      </c>
      <c r="D67" s="3" t="s">
        <v>296</v>
      </c>
      <c r="E67" s="3" t="s">
        <v>137</v>
      </c>
      <c r="F67" s="3" t="s">
        <v>297</v>
      </c>
      <c r="G67" s="3" t="s">
        <v>213</v>
      </c>
      <c r="H67" s="4">
        <v>46158.416666666664</v>
      </c>
      <c r="I67" s="3" t="s">
        <v>295</v>
      </c>
      <c r="J67" s="3" t="s">
        <v>306</v>
      </c>
      <c r="K67" s="5" t="s">
        <v>146</v>
      </c>
      <c r="L67" s="3" t="s">
        <v>127</v>
      </c>
      <c r="M67" s="3">
        <v>15</v>
      </c>
      <c r="N67" s="3" t="s">
        <v>148</v>
      </c>
      <c r="O67" s="3" t="s">
        <v>301</v>
      </c>
      <c r="P67" s="3" t="s">
        <v>477</v>
      </c>
      <c r="Q67" s="4">
        <v>46158.416666666664</v>
      </c>
      <c r="R67" s="5">
        <v>96</v>
      </c>
      <c r="S67" s="3" t="s">
        <v>239</v>
      </c>
    </row>
    <row r="68" spans="1:19">
      <c r="A68" s="3" t="s">
        <v>311</v>
      </c>
      <c r="B68" s="3" t="s">
        <v>40</v>
      </c>
      <c r="C68" s="3" t="s">
        <v>135</v>
      </c>
      <c r="D68" s="3" t="s">
        <v>296</v>
      </c>
      <c r="E68" s="3" t="s">
        <v>137</v>
      </c>
      <c r="F68" s="3" t="s">
        <v>297</v>
      </c>
      <c r="G68" s="3" t="s">
        <v>213</v>
      </c>
      <c r="H68" s="4">
        <v>46159.416666666664</v>
      </c>
      <c r="I68" s="3" t="s">
        <v>295</v>
      </c>
      <c r="J68" s="3" t="s">
        <v>313</v>
      </c>
      <c r="K68" s="5" t="s">
        <v>146</v>
      </c>
      <c r="L68" s="3" t="s">
        <v>127</v>
      </c>
      <c r="M68" s="3">
        <v>15</v>
      </c>
      <c r="N68" s="3" t="s">
        <v>148</v>
      </c>
      <c r="O68" s="3" t="s">
        <v>301</v>
      </c>
      <c r="P68" s="3" t="s">
        <v>478</v>
      </c>
      <c r="Q68" s="4">
        <v>46159.416666666664</v>
      </c>
      <c r="R68" s="5">
        <v>120</v>
      </c>
      <c r="S68" s="3" t="s">
        <v>239</v>
      </c>
    </row>
    <row r="69" spans="1:19">
      <c r="A69" s="3" t="s">
        <v>314</v>
      </c>
      <c r="B69" s="3" t="s">
        <v>40</v>
      </c>
      <c r="C69" s="3" t="s">
        <v>135</v>
      </c>
      <c r="D69" s="3" t="s">
        <v>296</v>
      </c>
      <c r="E69" s="3" t="s">
        <v>137</v>
      </c>
      <c r="F69" s="3" t="s">
        <v>297</v>
      </c>
      <c r="G69" s="3" t="s">
        <v>213</v>
      </c>
      <c r="H69" s="4">
        <v>46160.416666666664</v>
      </c>
      <c r="I69" s="3" t="s">
        <v>295</v>
      </c>
      <c r="J69" s="3" t="s">
        <v>315</v>
      </c>
      <c r="K69" s="5" t="s">
        <v>146</v>
      </c>
      <c r="L69" s="3" t="s">
        <v>127</v>
      </c>
      <c r="M69" s="3">
        <v>15</v>
      </c>
      <c r="N69" s="3" t="s">
        <v>148</v>
      </c>
      <c r="O69" s="3" t="s">
        <v>301</v>
      </c>
      <c r="P69" s="3" t="s">
        <v>479</v>
      </c>
      <c r="Q69" s="4">
        <v>46160.416666666664</v>
      </c>
      <c r="R69" s="5">
        <v>144</v>
      </c>
      <c r="S69" s="3" t="s">
        <v>239</v>
      </c>
    </row>
    <row r="70" spans="1:19">
      <c r="A70" s="3" t="s">
        <v>316</v>
      </c>
      <c r="B70" s="3" t="s">
        <v>40</v>
      </c>
      <c r="C70" s="3" t="s">
        <v>135</v>
      </c>
      <c r="D70" s="3" t="s">
        <v>296</v>
      </c>
      <c r="E70" s="3" t="s">
        <v>137</v>
      </c>
      <c r="F70" s="3" t="s">
        <v>297</v>
      </c>
      <c r="G70" s="3" t="s">
        <v>213</v>
      </c>
      <c r="H70" s="4">
        <v>46162.416666666664</v>
      </c>
      <c r="I70" s="3" t="s">
        <v>295</v>
      </c>
      <c r="J70" s="3" t="s">
        <v>317</v>
      </c>
      <c r="K70" s="5" t="s">
        <v>125</v>
      </c>
      <c r="L70" s="3" t="s">
        <v>127</v>
      </c>
      <c r="M70" s="3">
        <v>50</v>
      </c>
      <c r="N70" s="3" t="s">
        <v>128</v>
      </c>
      <c r="O70" s="3" t="s">
        <v>310</v>
      </c>
      <c r="P70" s="3" t="s">
        <v>480</v>
      </c>
      <c r="Q70" s="4">
        <v>46162.416666666664</v>
      </c>
      <c r="R70" s="5">
        <v>192</v>
      </c>
      <c r="S70" s="3" t="s">
        <v>239</v>
      </c>
    </row>
    <row r="71" spans="1:19">
      <c r="A71" s="3" t="s">
        <v>318</v>
      </c>
      <c r="B71" s="3" t="s">
        <v>41</v>
      </c>
      <c r="C71" s="3" t="s">
        <v>135</v>
      </c>
      <c r="D71" s="3" t="s">
        <v>296</v>
      </c>
      <c r="E71" s="3" t="s">
        <v>191</v>
      </c>
      <c r="F71" s="3" t="s">
        <v>321</v>
      </c>
      <c r="G71" s="3" t="s">
        <v>213</v>
      </c>
      <c r="H71" s="4">
        <v>46154.416666666664</v>
      </c>
      <c r="I71" s="3" t="s">
        <v>295</v>
      </c>
      <c r="J71" s="3" t="s">
        <v>126</v>
      </c>
      <c r="K71" s="5" t="s">
        <v>125</v>
      </c>
      <c r="L71" s="3" t="s">
        <v>127</v>
      </c>
      <c r="M71" s="3">
        <v>50</v>
      </c>
      <c r="N71" s="3" t="s">
        <v>128</v>
      </c>
      <c r="O71" s="3" t="s">
        <v>294</v>
      </c>
      <c r="P71" s="3" t="s">
        <v>472</v>
      </c>
      <c r="Q71" s="4">
        <v>46154.416666666664</v>
      </c>
      <c r="R71" s="5">
        <v>0</v>
      </c>
      <c r="S71" s="3" t="s">
        <v>239</v>
      </c>
    </row>
    <row r="72" spans="1:19">
      <c r="A72" s="3" t="s">
        <v>324</v>
      </c>
      <c r="B72" s="3" t="s">
        <v>41</v>
      </c>
      <c r="C72" s="3" t="s">
        <v>135</v>
      </c>
      <c r="D72" s="3" t="s">
        <v>296</v>
      </c>
      <c r="E72" s="3" t="s">
        <v>191</v>
      </c>
      <c r="F72" s="3" t="s">
        <v>321</v>
      </c>
      <c r="G72" s="3" t="s">
        <v>213</v>
      </c>
      <c r="H72" s="4">
        <v>46154.916666666664</v>
      </c>
      <c r="I72" s="3" t="s">
        <v>295</v>
      </c>
      <c r="J72" s="3" t="s">
        <v>147</v>
      </c>
      <c r="K72" s="5" t="s">
        <v>146</v>
      </c>
      <c r="L72" s="3" t="s">
        <v>127</v>
      </c>
      <c r="M72" s="3">
        <v>15</v>
      </c>
      <c r="N72" s="3" t="s">
        <v>148</v>
      </c>
      <c r="O72" s="3" t="s">
        <v>301</v>
      </c>
      <c r="P72" s="3" t="s">
        <v>473</v>
      </c>
      <c r="Q72" s="4">
        <v>46154.916666666664</v>
      </c>
      <c r="R72" s="5">
        <v>12</v>
      </c>
      <c r="S72" s="3" t="s">
        <v>239</v>
      </c>
    </row>
    <row r="73" spans="1:19">
      <c r="A73" s="3" t="s">
        <v>327</v>
      </c>
      <c r="B73" s="3" t="s">
        <v>41</v>
      </c>
      <c r="C73" s="3" t="s">
        <v>135</v>
      </c>
      <c r="D73" s="3" t="s">
        <v>296</v>
      </c>
      <c r="E73" s="3" t="s">
        <v>191</v>
      </c>
      <c r="F73" s="3" t="s">
        <v>321</v>
      </c>
      <c r="G73" s="3" t="s">
        <v>213</v>
      </c>
      <c r="H73" s="4">
        <v>46155.416666666664</v>
      </c>
      <c r="I73" s="3" t="s">
        <v>295</v>
      </c>
      <c r="J73" s="3" t="s">
        <v>329</v>
      </c>
      <c r="K73" s="5" t="s">
        <v>125</v>
      </c>
      <c r="L73" s="3" t="s">
        <v>127</v>
      </c>
      <c r="M73" s="3">
        <v>50</v>
      </c>
      <c r="N73" s="3" t="s">
        <v>128</v>
      </c>
      <c r="O73" s="3" t="s">
        <v>294</v>
      </c>
      <c r="P73" s="3" t="s">
        <v>481</v>
      </c>
      <c r="Q73" s="4">
        <v>46155.416666666664</v>
      </c>
      <c r="R73" s="5">
        <v>24</v>
      </c>
      <c r="S73" s="3" t="s">
        <v>239</v>
      </c>
    </row>
    <row r="74" spans="1:19">
      <c r="A74" s="3" t="s">
        <v>325</v>
      </c>
      <c r="B74" s="3" t="s">
        <v>41</v>
      </c>
      <c r="C74" s="3" t="s">
        <v>135</v>
      </c>
      <c r="D74" s="3" t="s">
        <v>296</v>
      </c>
      <c r="E74" s="3" t="s">
        <v>191</v>
      </c>
      <c r="F74" s="3" t="s">
        <v>321</v>
      </c>
      <c r="G74" s="3" t="s">
        <v>213</v>
      </c>
      <c r="H74" s="4">
        <v>46155.916666666664</v>
      </c>
      <c r="I74" s="3" t="s">
        <v>295</v>
      </c>
      <c r="J74" s="3" t="s">
        <v>178</v>
      </c>
      <c r="K74" s="5" t="s">
        <v>146</v>
      </c>
      <c r="L74" s="3" t="s">
        <v>127</v>
      </c>
      <c r="M74" s="3">
        <v>15</v>
      </c>
      <c r="N74" s="3" t="s">
        <v>148</v>
      </c>
      <c r="O74" s="3" t="s">
        <v>301</v>
      </c>
      <c r="P74" s="3" t="s">
        <v>482</v>
      </c>
      <c r="Q74" s="4">
        <v>46155.916666666664</v>
      </c>
      <c r="R74" s="5">
        <v>36</v>
      </c>
      <c r="S74" s="3" t="s">
        <v>239</v>
      </c>
    </row>
    <row r="75" spans="1:19">
      <c r="A75" s="3" t="s">
        <v>330</v>
      </c>
      <c r="B75" s="3" t="s">
        <v>41</v>
      </c>
      <c r="C75" s="3" t="s">
        <v>135</v>
      </c>
      <c r="D75" s="3" t="s">
        <v>296</v>
      </c>
      <c r="E75" s="3" t="s">
        <v>191</v>
      </c>
      <c r="F75" s="3" t="s">
        <v>321</v>
      </c>
      <c r="G75" s="3" t="s">
        <v>213</v>
      </c>
      <c r="H75" s="4">
        <v>46156.916666666664</v>
      </c>
      <c r="I75" s="3" t="s">
        <v>295</v>
      </c>
      <c r="J75" s="3" t="s">
        <v>331</v>
      </c>
      <c r="K75" s="5" t="s">
        <v>125</v>
      </c>
      <c r="L75" s="3" t="s">
        <v>127</v>
      </c>
      <c r="M75" s="3">
        <v>50</v>
      </c>
      <c r="N75" s="3" t="s">
        <v>128</v>
      </c>
      <c r="O75" s="3" t="s">
        <v>310</v>
      </c>
      <c r="P75" s="3" t="s">
        <v>483</v>
      </c>
      <c r="Q75" s="4">
        <v>46156.916666666664</v>
      </c>
      <c r="R75" s="5">
        <v>60</v>
      </c>
      <c r="S75" s="3" t="s">
        <v>239</v>
      </c>
    </row>
    <row r="76" spans="1:19">
      <c r="A76" s="3" t="s">
        <v>332</v>
      </c>
      <c r="B76" s="3" t="s">
        <v>41</v>
      </c>
      <c r="C76" s="3" t="s">
        <v>135</v>
      </c>
      <c r="D76" s="3" t="s">
        <v>296</v>
      </c>
      <c r="E76" s="3" t="s">
        <v>191</v>
      </c>
      <c r="F76" s="3" t="s">
        <v>321</v>
      </c>
      <c r="G76" s="3" t="s">
        <v>213</v>
      </c>
      <c r="H76" s="4">
        <v>46157.416666666664</v>
      </c>
      <c r="I76" s="3" t="s">
        <v>295</v>
      </c>
      <c r="J76" s="3" t="s">
        <v>334</v>
      </c>
      <c r="K76" s="5" t="s">
        <v>125</v>
      </c>
      <c r="L76" s="3" t="s">
        <v>127</v>
      </c>
      <c r="M76" s="3">
        <v>50</v>
      </c>
      <c r="N76" s="3" t="s">
        <v>128</v>
      </c>
      <c r="O76" s="3" t="s">
        <v>294</v>
      </c>
      <c r="P76" s="3" t="s">
        <v>484</v>
      </c>
      <c r="Q76" s="4">
        <v>46157.416666666664</v>
      </c>
      <c r="R76" s="5">
        <v>72</v>
      </c>
      <c r="S76" s="3" t="s">
        <v>239</v>
      </c>
    </row>
    <row r="77" spans="1:19">
      <c r="A77" s="3" t="s">
        <v>335</v>
      </c>
      <c r="B77" s="3" t="s">
        <v>41</v>
      </c>
      <c r="C77" s="3" t="s">
        <v>135</v>
      </c>
      <c r="D77" s="3" t="s">
        <v>296</v>
      </c>
      <c r="E77" s="3" t="s">
        <v>191</v>
      </c>
      <c r="F77" s="3" t="s">
        <v>321</v>
      </c>
      <c r="G77" s="3" t="s">
        <v>213</v>
      </c>
      <c r="H77" s="4">
        <v>46157.916666666664</v>
      </c>
      <c r="I77" s="3" t="s">
        <v>295</v>
      </c>
      <c r="J77" s="3" t="s">
        <v>337</v>
      </c>
      <c r="K77" s="5" t="s">
        <v>146</v>
      </c>
      <c r="L77" s="3" t="s">
        <v>127</v>
      </c>
      <c r="M77" s="3">
        <v>15</v>
      </c>
      <c r="N77" s="3" t="s">
        <v>148</v>
      </c>
      <c r="O77" s="3" t="s">
        <v>301</v>
      </c>
      <c r="P77" s="3" t="s">
        <v>485</v>
      </c>
      <c r="Q77" s="4">
        <v>46157.916666666664</v>
      </c>
      <c r="R77" s="5">
        <v>84</v>
      </c>
      <c r="S77" s="3" t="s">
        <v>239</v>
      </c>
    </row>
    <row r="78" spans="1:19">
      <c r="A78" s="3" t="s">
        <v>338</v>
      </c>
      <c r="B78" s="3" t="s">
        <v>41</v>
      </c>
      <c r="C78" s="3" t="s">
        <v>135</v>
      </c>
      <c r="D78" s="3" t="s">
        <v>296</v>
      </c>
      <c r="E78" s="3" t="s">
        <v>191</v>
      </c>
      <c r="F78" s="3" t="s">
        <v>321</v>
      </c>
      <c r="G78" s="3" t="s">
        <v>213</v>
      </c>
      <c r="H78" s="4">
        <v>46160.416666666664</v>
      </c>
      <c r="I78" s="3" t="s">
        <v>295</v>
      </c>
      <c r="J78" s="3" t="s">
        <v>315</v>
      </c>
      <c r="K78" s="5" t="s">
        <v>146</v>
      </c>
      <c r="L78" s="3" t="s">
        <v>127</v>
      </c>
      <c r="M78" s="3">
        <v>15</v>
      </c>
      <c r="N78" s="3" t="s">
        <v>148</v>
      </c>
      <c r="O78" s="3" t="s">
        <v>301</v>
      </c>
      <c r="P78" s="3" t="s">
        <v>479</v>
      </c>
      <c r="Q78" s="4">
        <v>46160.416666666664</v>
      </c>
      <c r="R78" s="5">
        <v>144</v>
      </c>
      <c r="S78" s="3" t="s">
        <v>239</v>
      </c>
    </row>
    <row r="79" spans="1:19">
      <c r="A79" s="3" t="s">
        <v>486</v>
      </c>
      <c r="B79" s="3" t="s">
        <v>41</v>
      </c>
      <c r="C79" s="3" t="s">
        <v>135</v>
      </c>
      <c r="D79" s="3" t="s">
        <v>296</v>
      </c>
      <c r="E79" s="3" t="s">
        <v>191</v>
      </c>
      <c r="F79" s="3" t="s">
        <v>321</v>
      </c>
      <c r="G79" s="3" t="s">
        <v>213</v>
      </c>
      <c r="H79" s="4">
        <v>46161.416666666664</v>
      </c>
      <c r="I79" s="3" t="s">
        <v>295</v>
      </c>
      <c r="J79" s="3" t="s">
        <v>487</v>
      </c>
      <c r="K79" s="5" t="s">
        <v>125</v>
      </c>
      <c r="L79" s="3" t="s">
        <v>127</v>
      </c>
      <c r="M79" s="3">
        <v>50</v>
      </c>
      <c r="N79" s="3" t="s">
        <v>128</v>
      </c>
      <c r="O79" s="3" t="s">
        <v>310</v>
      </c>
      <c r="P79" s="3" t="s">
        <v>480</v>
      </c>
      <c r="Q79" s="4">
        <v>46161.416666666664</v>
      </c>
      <c r="R79" s="5">
        <v>168</v>
      </c>
      <c r="S79" s="3" t="s">
        <v>239</v>
      </c>
    </row>
    <row r="80" spans="1:19">
      <c r="A80" s="3" t="s">
        <v>339</v>
      </c>
      <c r="B80" s="3" t="s">
        <v>42</v>
      </c>
      <c r="C80" s="3" t="s">
        <v>135</v>
      </c>
      <c r="D80" s="3" t="s">
        <v>296</v>
      </c>
      <c r="E80" s="3" t="s">
        <v>211</v>
      </c>
      <c r="F80" s="3" t="s">
        <v>342</v>
      </c>
      <c r="G80" s="3" t="s">
        <v>213</v>
      </c>
      <c r="H80" s="4">
        <v>46154.416666666664</v>
      </c>
      <c r="I80" s="3" t="s">
        <v>295</v>
      </c>
      <c r="J80" s="3" t="s">
        <v>126</v>
      </c>
      <c r="K80" s="5" t="s">
        <v>125</v>
      </c>
      <c r="L80" s="3" t="s">
        <v>127</v>
      </c>
      <c r="M80" s="3">
        <v>50</v>
      </c>
      <c r="N80" s="3" t="s">
        <v>128</v>
      </c>
      <c r="O80" s="3" t="s">
        <v>294</v>
      </c>
      <c r="P80" s="3" t="s">
        <v>472</v>
      </c>
      <c r="Q80" s="4">
        <v>46154.416666666664</v>
      </c>
      <c r="R80" s="5">
        <v>0</v>
      </c>
      <c r="S80" s="3" t="s">
        <v>239</v>
      </c>
    </row>
    <row r="81" spans="1:19">
      <c r="A81" s="3" t="s">
        <v>345</v>
      </c>
      <c r="B81" s="3" t="s">
        <v>42</v>
      </c>
      <c r="C81" s="3" t="s">
        <v>135</v>
      </c>
      <c r="D81" s="3" t="s">
        <v>296</v>
      </c>
      <c r="E81" s="3" t="s">
        <v>211</v>
      </c>
      <c r="F81" s="3" t="s">
        <v>342</v>
      </c>
      <c r="G81" s="3" t="s">
        <v>213</v>
      </c>
      <c r="H81" s="4">
        <v>46154.916666666664</v>
      </c>
      <c r="I81" s="3" t="s">
        <v>295</v>
      </c>
      <c r="J81" s="3" t="s">
        <v>147</v>
      </c>
      <c r="K81" s="5" t="s">
        <v>146</v>
      </c>
      <c r="L81" s="3" t="s">
        <v>127</v>
      </c>
      <c r="M81" s="3">
        <v>15</v>
      </c>
      <c r="N81" s="3" t="s">
        <v>148</v>
      </c>
      <c r="O81" s="3" t="s">
        <v>301</v>
      </c>
      <c r="P81" s="3" t="s">
        <v>473</v>
      </c>
      <c r="Q81" s="4">
        <v>46154.916666666664</v>
      </c>
      <c r="R81" s="5">
        <v>12</v>
      </c>
      <c r="S81" s="3" t="s">
        <v>239</v>
      </c>
    </row>
    <row r="82" spans="1:19">
      <c r="A82" s="3" t="s">
        <v>350</v>
      </c>
      <c r="B82" s="3" t="s">
        <v>42</v>
      </c>
      <c r="C82" s="3" t="s">
        <v>135</v>
      </c>
      <c r="D82" s="3" t="s">
        <v>296</v>
      </c>
      <c r="E82" s="3" t="s">
        <v>211</v>
      </c>
      <c r="F82" s="3" t="s">
        <v>342</v>
      </c>
      <c r="G82" s="3" t="s">
        <v>213</v>
      </c>
      <c r="H82" s="4">
        <v>46155.416666666664</v>
      </c>
      <c r="I82" s="3" t="s">
        <v>295</v>
      </c>
      <c r="J82" s="3" t="s">
        <v>152</v>
      </c>
      <c r="K82" s="5" t="s">
        <v>146</v>
      </c>
      <c r="L82" s="3" t="s">
        <v>127</v>
      </c>
      <c r="M82" s="3">
        <v>15</v>
      </c>
      <c r="N82" s="3" t="s">
        <v>148</v>
      </c>
      <c r="O82" s="3" t="s">
        <v>301</v>
      </c>
      <c r="P82" s="3" t="s">
        <v>474</v>
      </c>
      <c r="Q82" s="4">
        <v>46155.416666666664</v>
      </c>
      <c r="R82" s="5">
        <v>24</v>
      </c>
      <c r="S82" s="3" t="s">
        <v>239</v>
      </c>
    </row>
    <row r="83" spans="1:19">
      <c r="A83" s="3" t="s">
        <v>346</v>
      </c>
      <c r="B83" s="3" t="s">
        <v>42</v>
      </c>
      <c r="C83" s="3" t="s">
        <v>135</v>
      </c>
      <c r="D83" s="3" t="s">
        <v>296</v>
      </c>
      <c r="E83" s="3" t="s">
        <v>211</v>
      </c>
      <c r="F83" s="3" t="s">
        <v>342</v>
      </c>
      <c r="G83" s="3" t="s">
        <v>213</v>
      </c>
      <c r="H83" s="4">
        <v>46156.416666666664</v>
      </c>
      <c r="I83" s="3" t="s">
        <v>295</v>
      </c>
      <c r="J83" s="3" t="s">
        <v>158</v>
      </c>
      <c r="K83" s="5" t="s">
        <v>146</v>
      </c>
      <c r="L83" s="3" t="s">
        <v>127</v>
      </c>
      <c r="M83" s="3">
        <v>15</v>
      </c>
      <c r="N83" s="3" t="s">
        <v>148</v>
      </c>
      <c r="O83" s="3" t="s">
        <v>301</v>
      </c>
      <c r="P83" s="3" t="s">
        <v>488</v>
      </c>
      <c r="Q83" s="4">
        <v>46156.416666666664</v>
      </c>
      <c r="R83" s="5">
        <v>48</v>
      </c>
      <c r="S83" s="3" t="s">
        <v>239</v>
      </c>
    </row>
    <row r="84" spans="1:19">
      <c r="A84" s="3" t="s">
        <v>347</v>
      </c>
      <c r="B84" s="3" t="s">
        <v>42</v>
      </c>
      <c r="C84" s="3" t="s">
        <v>135</v>
      </c>
      <c r="D84" s="3" t="s">
        <v>296</v>
      </c>
      <c r="E84" s="3" t="s">
        <v>211</v>
      </c>
      <c r="F84" s="3" t="s">
        <v>342</v>
      </c>
      <c r="G84" s="3" t="s">
        <v>213</v>
      </c>
      <c r="H84" s="4">
        <v>46156.916666666664</v>
      </c>
      <c r="I84" s="3" t="s">
        <v>295</v>
      </c>
      <c r="J84" s="3" t="s">
        <v>329</v>
      </c>
      <c r="K84" s="5" t="s">
        <v>125</v>
      </c>
      <c r="L84" s="3" t="s">
        <v>127</v>
      </c>
      <c r="M84" s="3">
        <v>50</v>
      </c>
      <c r="N84" s="3" t="s">
        <v>128</v>
      </c>
      <c r="O84" s="3" t="s">
        <v>294</v>
      </c>
      <c r="P84" s="3" t="s">
        <v>489</v>
      </c>
      <c r="Q84" s="4">
        <v>46156.916666666664</v>
      </c>
      <c r="R84" s="5">
        <v>60</v>
      </c>
      <c r="S84" s="3" t="s">
        <v>239</v>
      </c>
    </row>
    <row r="85" spans="1:19">
      <c r="A85" s="3" t="s">
        <v>348</v>
      </c>
      <c r="B85" s="3" t="s">
        <v>42</v>
      </c>
      <c r="C85" s="3" t="s">
        <v>135</v>
      </c>
      <c r="D85" s="3" t="s">
        <v>296</v>
      </c>
      <c r="E85" s="3" t="s">
        <v>211</v>
      </c>
      <c r="F85" s="3" t="s">
        <v>342</v>
      </c>
      <c r="G85" s="3" t="s">
        <v>213</v>
      </c>
      <c r="H85" s="4">
        <v>46157.416666666664</v>
      </c>
      <c r="I85" s="3" t="s">
        <v>295</v>
      </c>
      <c r="J85" s="3" t="s">
        <v>178</v>
      </c>
      <c r="K85" s="5" t="s">
        <v>146</v>
      </c>
      <c r="L85" s="3" t="s">
        <v>127</v>
      </c>
      <c r="M85" s="3">
        <v>15</v>
      </c>
      <c r="N85" s="3" t="s">
        <v>148</v>
      </c>
      <c r="O85" s="3" t="s">
        <v>301</v>
      </c>
      <c r="P85" s="3" t="s">
        <v>490</v>
      </c>
      <c r="Q85" s="4">
        <v>46157.416666666664</v>
      </c>
      <c r="R85" s="5">
        <v>72</v>
      </c>
      <c r="S85" s="3" t="s">
        <v>239</v>
      </c>
    </row>
    <row r="86" spans="1:19">
      <c r="A86" s="3" t="s">
        <v>351</v>
      </c>
      <c r="B86" s="3" t="s">
        <v>42</v>
      </c>
      <c r="C86" s="3" t="s">
        <v>135</v>
      </c>
      <c r="D86" s="3" t="s">
        <v>296</v>
      </c>
      <c r="E86" s="3" t="s">
        <v>211</v>
      </c>
      <c r="F86" s="3" t="s">
        <v>342</v>
      </c>
      <c r="G86" s="3" t="s">
        <v>213</v>
      </c>
      <c r="H86" s="4">
        <v>46157.916666666664</v>
      </c>
      <c r="I86" s="3" t="s">
        <v>295</v>
      </c>
      <c r="J86" s="3" t="s">
        <v>163</v>
      </c>
      <c r="K86" s="5" t="s">
        <v>125</v>
      </c>
      <c r="L86" s="3" t="s">
        <v>127</v>
      </c>
      <c r="M86" s="3">
        <v>50</v>
      </c>
      <c r="N86" s="3" t="s">
        <v>128</v>
      </c>
      <c r="O86" s="3" t="s">
        <v>310</v>
      </c>
      <c r="P86" s="3" t="s">
        <v>491</v>
      </c>
      <c r="Q86" s="4">
        <v>46157.916666666664</v>
      </c>
      <c r="R86" s="5">
        <v>84</v>
      </c>
      <c r="S86" s="3" t="s">
        <v>239</v>
      </c>
    </row>
    <row r="87" spans="1:19">
      <c r="A87" s="3" t="s">
        <v>354</v>
      </c>
      <c r="B87" s="3" t="s">
        <v>42</v>
      </c>
      <c r="C87" s="3" t="s">
        <v>135</v>
      </c>
      <c r="D87" s="3" t="s">
        <v>296</v>
      </c>
      <c r="E87" s="3" t="s">
        <v>211</v>
      </c>
      <c r="F87" s="3" t="s">
        <v>342</v>
      </c>
      <c r="G87" s="3" t="s">
        <v>213</v>
      </c>
      <c r="H87" s="4">
        <v>46158.416666666664</v>
      </c>
      <c r="I87" s="3" t="s">
        <v>295</v>
      </c>
      <c r="J87" s="3" t="s">
        <v>355</v>
      </c>
      <c r="K87" s="5" t="s">
        <v>125</v>
      </c>
      <c r="L87" s="3" t="s">
        <v>127</v>
      </c>
      <c r="M87" s="3">
        <v>50</v>
      </c>
      <c r="N87" s="3" t="s">
        <v>128</v>
      </c>
      <c r="O87" s="3" t="s">
        <v>294</v>
      </c>
      <c r="P87" s="3" t="s">
        <v>492</v>
      </c>
      <c r="Q87" s="4">
        <v>46158.416666666664</v>
      </c>
      <c r="R87" s="5">
        <v>96</v>
      </c>
      <c r="S87" s="3" t="s">
        <v>239</v>
      </c>
    </row>
    <row r="88" spans="1:19">
      <c r="A88" s="3" t="s">
        <v>493</v>
      </c>
      <c r="B88" s="3" t="s">
        <v>42</v>
      </c>
      <c r="C88" s="3" t="s">
        <v>135</v>
      </c>
      <c r="D88" s="3" t="s">
        <v>296</v>
      </c>
      <c r="E88" s="3" t="s">
        <v>211</v>
      </c>
      <c r="F88" s="3" t="s">
        <v>342</v>
      </c>
      <c r="G88" s="3" t="s">
        <v>213</v>
      </c>
      <c r="H88" s="4">
        <v>46158.916666666664</v>
      </c>
      <c r="I88" s="3" t="s">
        <v>295</v>
      </c>
      <c r="J88" s="3" t="s">
        <v>337</v>
      </c>
      <c r="K88" s="5" t="s">
        <v>146</v>
      </c>
      <c r="L88" s="3" t="s">
        <v>127</v>
      </c>
      <c r="M88" s="3">
        <v>15</v>
      </c>
      <c r="N88" s="3" t="s">
        <v>148</v>
      </c>
      <c r="O88" s="3" t="s">
        <v>301</v>
      </c>
      <c r="P88" s="3" t="s">
        <v>485</v>
      </c>
      <c r="Q88" s="4">
        <v>46158.916666666664</v>
      </c>
      <c r="R88" s="5">
        <v>108</v>
      </c>
      <c r="S88" s="3" t="s">
        <v>239</v>
      </c>
    </row>
    <row r="89" spans="1:19">
      <c r="A89" s="3" t="s">
        <v>494</v>
      </c>
      <c r="B89" s="3" t="s">
        <v>42</v>
      </c>
      <c r="C89" s="3" t="s">
        <v>135</v>
      </c>
      <c r="D89" s="3" t="s">
        <v>296</v>
      </c>
      <c r="E89" s="3" t="s">
        <v>211</v>
      </c>
      <c r="F89" s="3" t="s">
        <v>342</v>
      </c>
      <c r="G89" s="3" t="s">
        <v>213</v>
      </c>
      <c r="H89" s="4">
        <v>46161.416666666664</v>
      </c>
      <c r="I89" s="3" t="s">
        <v>295</v>
      </c>
      <c r="J89" s="3" t="s">
        <v>487</v>
      </c>
      <c r="K89" s="5" t="s">
        <v>125</v>
      </c>
      <c r="L89" s="3" t="s">
        <v>127</v>
      </c>
      <c r="M89" s="3">
        <v>50</v>
      </c>
      <c r="N89" s="3" t="s">
        <v>128</v>
      </c>
      <c r="O89" s="3" t="s">
        <v>310</v>
      </c>
      <c r="P89" s="3" t="s">
        <v>480</v>
      </c>
      <c r="Q89" s="4">
        <v>46161.416666666664</v>
      </c>
      <c r="R89" s="5">
        <v>168</v>
      </c>
      <c r="S89" s="3" t="s">
        <v>239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4"/>
  <sheetViews>
    <sheetView workbookViewId="0"/>
  </sheetViews>
  <sheetFormatPr baseColWidth="10" defaultColWidth="9" defaultRowHeight="14.25"/>
  <cols>
    <col min="1" max="3" width="13" customWidth="1"/>
    <col min="4" max="5" width="18" customWidth="1"/>
    <col min="6" max="6" width="13" customWidth="1"/>
    <col min="7" max="7" width="18" customWidth="1"/>
    <col min="8" max="13" width="13" customWidth="1"/>
    <col min="14" max="14" width="32" customWidth="1"/>
  </cols>
  <sheetData>
    <row r="1" spans="1:14" ht="32.1" customHeight="1">
      <c r="A1" s="1" t="s">
        <v>434</v>
      </c>
      <c r="B1" s="1" t="s">
        <v>367</v>
      </c>
      <c r="C1" s="1" t="s">
        <v>86</v>
      </c>
      <c r="D1" s="1" t="s">
        <v>84</v>
      </c>
      <c r="E1" s="1" t="s">
        <v>93</v>
      </c>
      <c r="F1" s="1" t="s">
        <v>94</v>
      </c>
      <c r="G1" s="1" t="s">
        <v>495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496</v>
      </c>
      <c r="N1" s="1" t="s">
        <v>376</v>
      </c>
    </row>
    <row r="2" spans="1:14">
      <c r="A2" s="3" t="s">
        <v>118</v>
      </c>
      <c r="B2" s="4">
        <v>46177.541666666664</v>
      </c>
      <c r="C2" s="5" t="s">
        <v>125</v>
      </c>
      <c r="D2" s="3">
        <v>1.23</v>
      </c>
      <c r="E2" s="3">
        <v>5.4302999999999999</v>
      </c>
      <c r="F2" s="3">
        <v>5.4980000000000002</v>
      </c>
      <c r="G2" s="3">
        <v>6.7700000000000315E-2</v>
      </c>
      <c r="H2" s="3" t="s">
        <v>131</v>
      </c>
      <c r="I2" s="3" t="s">
        <v>132</v>
      </c>
      <c r="J2" s="3" t="s">
        <v>133</v>
      </c>
      <c r="K2" s="3"/>
      <c r="L2" s="3"/>
      <c r="M2" s="3"/>
      <c r="N2" s="3"/>
    </row>
    <row r="3" spans="1:14">
      <c r="A3" s="3" t="s">
        <v>156</v>
      </c>
      <c r="B3" s="4">
        <v>46238.625</v>
      </c>
      <c r="C3" s="5" t="s">
        <v>125</v>
      </c>
      <c r="D3" s="3">
        <v>3.87</v>
      </c>
      <c r="E3" s="3">
        <v>5.5206999999999997</v>
      </c>
      <c r="F3" s="3">
        <v>5.5839999999999996</v>
      </c>
      <c r="G3" s="3">
        <v>6.3299999999999912E-2</v>
      </c>
      <c r="H3" s="3" t="s">
        <v>131</v>
      </c>
      <c r="I3" s="3" t="s">
        <v>132</v>
      </c>
      <c r="J3" s="3" t="s">
        <v>133</v>
      </c>
      <c r="K3" s="3"/>
      <c r="L3" s="3"/>
      <c r="M3" s="3"/>
      <c r="N3" s="3"/>
    </row>
    <row r="4" spans="1:14">
      <c r="A4" s="3" t="s">
        <v>168</v>
      </c>
      <c r="B4" s="4">
        <v>46299.333333333336</v>
      </c>
      <c r="C4" s="5" t="s">
        <v>125</v>
      </c>
      <c r="D4" s="3">
        <v>8.0699999999999985</v>
      </c>
      <c r="E4" s="3">
        <v>5.5430700000000002</v>
      </c>
      <c r="F4" s="3">
        <v>5.6479999999999997</v>
      </c>
      <c r="G4" s="3">
        <v>0.10492999999999952</v>
      </c>
      <c r="H4" s="3" t="s">
        <v>131</v>
      </c>
      <c r="I4" s="3" t="s">
        <v>132</v>
      </c>
      <c r="J4" s="3" t="s">
        <v>133</v>
      </c>
      <c r="K4" s="3"/>
      <c r="L4" s="3"/>
      <c r="M4" s="3"/>
      <c r="N4" s="3"/>
    </row>
    <row r="5" spans="1:14">
      <c r="A5" s="3" t="s">
        <v>182</v>
      </c>
      <c r="B5" s="4">
        <v>46360.625</v>
      </c>
      <c r="C5" s="5" t="s">
        <v>125</v>
      </c>
      <c r="D5" s="3">
        <v>10.58</v>
      </c>
      <c r="E5" s="3">
        <v>5.56</v>
      </c>
      <c r="F5" s="3">
        <v>5.66</v>
      </c>
      <c r="G5" s="3">
        <v>0.10000000000000053</v>
      </c>
      <c r="H5" s="3" t="s">
        <v>131</v>
      </c>
      <c r="I5" s="3" t="s">
        <v>132</v>
      </c>
      <c r="J5" s="3" t="s">
        <v>133</v>
      </c>
      <c r="K5" s="3"/>
      <c r="L5" s="3"/>
      <c r="M5" s="3"/>
      <c r="N5" s="3"/>
    </row>
    <row r="6" spans="1:14">
      <c r="A6" s="3" t="s">
        <v>185</v>
      </c>
      <c r="B6" s="4" t="s">
        <v>186</v>
      </c>
      <c r="C6" s="5" t="s">
        <v>125</v>
      </c>
      <c r="D6" s="3">
        <v>10.44</v>
      </c>
      <c r="E6" s="3">
        <v>5.556</v>
      </c>
      <c r="F6" s="3">
        <v>5.6449999999999996</v>
      </c>
      <c r="G6" s="3">
        <v>8.8999999999999524E-2</v>
      </c>
      <c r="H6" s="3" t="s">
        <v>131</v>
      </c>
      <c r="I6" s="3" t="s">
        <v>132</v>
      </c>
      <c r="J6" s="3" t="s">
        <v>133</v>
      </c>
      <c r="K6" s="3"/>
      <c r="L6" s="3"/>
      <c r="M6" s="3"/>
      <c r="N6" s="3"/>
    </row>
    <row r="7" spans="1:14">
      <c r="A7" s="3" t="s">
        <v>189</v>
      </c>
      <c r="B7" s="4">
        <v>46177.541666666664</v>
      </c>
      <c r="C7" s="5" t="s">
        <v>125</v>
      </c>
      <c r="D7" s="3">
        <v>1.24</v>
      </c>
      <c r="E7" s="3">
        <v>5.4591000000000003</v>
      </c>
      <c r="F7" s="3">
        <v>5.5190000000000001</v>
      </c>
      <c r="G7" s="3">
        <v>5.9899999999999842E-2</v>
      </c>
      <c r="H7" s="3" t="s">
        <v>131</v>
      </c>
      <c r="I7" s="3" t="s">
        <v>132</v>
      </c>
      <c r="J7" s="3" t="s">
        <v>133</v>
      </c>
      <c r="K7" s="3"/>
      <c r="L7" s="3"/>
      <c r="M7" s="3"/>
      <c r="N7" s="3"/>
    </row>
    <row r="8" spans="1:14">
      <c r="A8" s="3" t="s">
        <v>197</v>
      </c>
      <c r="B8" s="4">
        <v>46238.625</v>
      </c>
      <c r="C8" s="5" t="s">
        <v>125</v>
      </c>
      <c r="D8" s="3">
        <v>3.96</v>
      </c>
      <c r="E8" s="3">
        <v>5.5354999999999999</v>
      </c>
      <c r="F8" s="3">
        <v>5.6580000000000004</v>
      </c>
      <c r="G8" s="3">
        <v>0.1225000000000005</v>
      </c>
      <c r="H8" s="3" t="s">
        <v>131</v>
      </c>
      <c r="I8" s="3" t="s">
        <v>132</v>
      </c>
      <c r="J8" s="3" t="s">
        <v>133</v>
      </c>
      <c r="K8" s="3"/>
      <c r="L8" s="3"/>
      <c r="M8" s="3"/>
      <c r="N8" s="3"/>
    </row>
    <row r="9" spans="1:14">
      <c r="A9" s="3" t="s">
        <v>201</v>
      </c>
      <c r="B9" s="4">
        <v>46299.333333333336</v>
      </c>
      <c r="C9" s="5" t="s">
        <v>125</v>
      </c>
      <c r="D9" s="3">
        <v>7.8500000000000005</v>
      </c>
      <c r="E9" s="3">
        <v>5.5284500000000003</v>
      </c>
      <c r="F9" s="3">
        <v>5.6429999999999998</v>
      </c>
      <c r="G9" s="3">
        <v>0.11454999999999949</v>
      </c>
      <c r="H9" s="3" t="s">
        <v>131</v>
      </c>
      <c r="I9" s="3" t="s">
        <v>132</v>
      </c>
      <c r="J9" s="3" t="s">
        <v>133</v>
      </c>
      <c r="K9" s="3"/>
      <c r="L9" s="3"/>
      <c r="M9" s="3"/>
      <c r="N9" s="3"/>
    </row>
    <row r="10" spans="1:14">
      <c r="A10" s="3" t="s">
        <v>206</v>
      </c>
      <c r="B10" s="4">
        <v>46360.625</v>
      </c>
      <c r="C10" s="5" t="s">
        <v>125</v>
      </c>
      <c r="D10" s="3">
        <v>10.639999999999999</v>
      </c>
      <c r="E10" s="3">
        <v>5.53</v>
      </c>
      <c r="F10" s="3">
        <v>5.6369999999999996</v>
      </c>
      <c r="G10" s="3">
        <v>0.10699999999999932</v>
      </c>
      <c r="H10" s="3" t="s">
        <v>131</v>
      </c>
      <c r="I10" s="3" t="s">
        <v>132</v>
      </c>
      <c r="J10" s="3" t="s">
        <v>133</v>
      </c>
      <c r="K10" s="3"/>
      <c r="L10" s="3"/>
      <c r="M10" s="3"/>
      <c r="N10" s="3"/>
    </row>
    <row r="11" spans="1:14">
      <c r="A11" s="3" t="s">
        <v>207</v>
      </c>
      <c r="B11" s="4" t="s">
        <v>186</v>
      </c>
      <c r="C11" s="5" t="s">
        <v>125</v>
      </c>
      <c r="D11" s="3">
        <v>10.219999999999999</v>
      </c>
      <c r="E11" s="3">
        <v>5.6239999999999997</v>
      </c>
      <c r="F11" s="3">
        <v>5.7169999999999996</v>
      </c>
      <c r="G11" s="3">
        <v>9.2999999999999972E-2</v>
      </c>
      <c r="H11" s="3" t="s">
        <v>131</v>
      </c>
      <c r="I11" s="3" t="s">
        <v>132</v>
      </c>
      <c r="J11" s="3" t="s">
        <v>133</v>
      </c>
      <c r="K11" s="3"/>
      <c r="L11" s="3"/>
      <c r="M11" s="3"/>
      <c r="N11" s="3"/>
    </row>
    <row r="12" spans="1:14">
      <c r="A12" s="3" t="s">
        <v>208</v>
      </c>
      <c r="B12" s="4">
        <v>46177.541666666664</v>
      </c>
      <c r="C12" s="5" t="s">
        <v>125</v>
      </c>
      <c r="D12" s="3">
        <v>1.25</v>
      </c>
      <c r="E12" s="3">
        <v>5.4573999999999998</v>
      </c>
      <c r="F12" s="3">
        <v>5.5010000000000003</v>
      </c>
      <c r="G12" s="3">
        <v>4.3600000000000527E-2</v>
      </c>
      <c r="H12" s="3" t="s">
        <v>131</v>
      </c>
      <c r="I12" s="3" t="s">
        <v>132</v>
      </c>
      <c r="J12" s="3" t="s">
        <v>133</v>
      </c>
      <c r="K12" s="3"/>
      <c r="L12" s="3"/>
      <c r="M12" s="3"/>
      <c r="N12" s="3"/>
    </row>
    <row r="13" spans="1:14">
      <c r="A13" s="3" t="s">
        <v>219</v>
      </c>
      <c r="B13" s="4">
        <v>46238.625</v>
      </c>
      <c r="C13" s="5" t="s">
        <v>125</v>
      </c>
      <c r="D13" s="3">
        <v>2.6700000000000004</v>
      </c>
      <c r="E13" s="3">
        <v>5.6052999999999997</v>
      </c>
      <c r="F13" s="3">
        <v>5.7050000000000001</v>
      </c>
      <c r="G13" s="3">
        <v>9.9700000000000344E-2</v>
      </c>
      <c r="H13" s="3" t="s">
        <v>131</v>
      </c>
      <c r="I13" s="3" t="s">
        <v>132</v>
      </c>
      <c r="J13" s="3" t="s">
        <v>133</v>
      </c>
      <c r="K13" s="3"/>
      <c r="L13" s="3"/>
      <c r="M13" s="3"/>
      <c r="N13" s="3"/>
    </row>
    <row r="14" spans="1:14">
      <c r="A14" s="3" t="s">
        <v>224</v>
      </c>
      <c r="B14" s="4">
        <v>46330.333333333336</v>
      </c>
      <c r="C14" s="5" t="s">
        <v>125</v>
      </c>
      <c r="D14" s="3">
        <v>7.8199999999999994</v>
      </c>
      <c r="E14" s="3">
        <v>5.65</v>
      </c>
      <c r="F14" s="3">
        <v>5.7380000000000004</v>
      </c>
      <c r="G14" s="3">
        <v>8.8000000000000078E-2</v>
      </c>
      <c r="H14" s="3" t="s">
        <v>131</v>
      </c>
      <c r="I14" s="3" t="s">
        <v>132</v>
      </c>
      <c r="J14" s="3" t="s">
        <v>133</v>
      </c>
      <c r="K14" s="3"/>
      <c r="L14" s="3"/>
      <c r="M14" s="3"/>
      <c r="N14" s="3"/>
    </row>
    <row r="15" spans="1:14">
      <c r="A15" s="3" t="s">
        <v>229</v>
      </c>
      <c r="B15" s="4">
        <v>46360.625</v>
      </c>
      <c r="C15" s="5" t="s">
        <v>125</v>
      </c>
      <c r="D15" s="3">
        <v>9.77</v>
      </c>
      <c r="E15" s="3">
        <v>5.54</v>
      </c>
      <c r="F15" s="3">
        <v>5.6459999999999999</v>
      </c>
      <c r="G15" s="3">
        <v>0.10599999999999987</v>
      </c>
      <c r="H15" s="3" t="s">
        <v>131</v>
      </c>
      <c r="I15" s="3" t="s">
        <v>132</v>
      </c>
      <c r="J15" s="3" t="s">
        <v>133</v>
      </c>
      <c r="K15" s="3"/>
      <c r="L15" s="3"/>
      <c r="M15" s="3"/>
      <c r="N15" s="3"/>
    </row>
    <row r="16" spans="1:14">
      <c r="A16" s="3" t="s">
        <v>236</v>
      </c>
      <c r="B16" s="4" t="s">
        <v>237</v>
      </c>
      <c r="C16" s="5" t="s">
        <v>125</v>
      </c>
      <c r="D16" s="3">
        <v>10.479999999999999</v>
      </c>
      <c r="E16" s="3">
        <v>5.5279999999999996</v>
      </c>
      <c r="F16" s="3">
        <v>5.6230000000000002</v>
      </c>
      <c r="G16" s="3">
        <v>9.5000000000000639E-2</v>
      </c>
      <c r="H16" s="3" t="s">
        <v>131</v>
      </c>
      <c r="I16" s="3" t="s">
        <v>132</v>
      </c>
      <c r="J16" s="3" t="s">
        <v>133</v>
      </c>
      <c r="K16" s="3"/>
      <c r="L16" s="3"/>
      <c r="M16" s="3"/>
      <c r="N16" s="3"/>
    </row>
    <row r="17" spans="1:14">
      <c r="A17" s="3" t="s">
        <v>238</v>
      </c>
      <c r="B17" s="4">
        <v>46129.666666666664</v>
      </c>
      <c r="C17" s="5" t="s">
        <v>125</v>
      </c>
      <c r="D17" s="3">
        <v>1.49</v>
      </c>
      <c r="E17" s="3">
        <v>5.56</v>
      </c>
      <c r="F17" s="3">
        <v>5.609</v>
      </c>
      <c r="G17" s="3">
        <v>4.9000000000000377E-2</v>
      </c>
      <c r="H17" s="3" t="s">
        <v>131</v>
      </c>
      <c r="I17" s="3" t="s">
        <v>243</v>
      </c>
      <c r="J17" s="3" t="s">
        <v>244</v>
      </c>
      <c r="K17" s="3"/>
      <c r="L17" s="3"/>
      <c r="M17" s="3"/>
      <c r="N17" s="3"/>
    </row>
    <row r="18" spans="1:14">
      <c r="A18" s="3" t="s">
        <v>249</v>
      </c>
      <c r="B18" s="4">
        <v>46131.666666666664</v>
      </c>
      <c r="C18" s="5" t="s">
        <v>125</v>
      </c>
      <c r="D18" s="3">
        <v>3.84</v>
      </c>
      <c r="E18" s="3">
        <v>5.5839999999999996</v>
      </c>
      <c r="F18" s="3">
        <v>5.66</v>
      </c>
      <c r="G18" s="3">
        <v>7.6000000000000512E-2</v>
      </c>
      <c r="H18" s="3" t="s">
        <v>250</v>
      </c>
      <c r="I18" s="3" t="s">
        <v>243</v>
      </c>
      <c r="J18" s="3" t="s">
        <v>244</v>
      </c>
      <c r="K18" s="3"/>
      <c r="L18" s="3"/>
      <c r="M18" s="3"/>
      <c r="N18" s="3"/>
    </row>
    <row r="19" spans="1:14">
      <c r="A19" s="3" t="s">
        <v>254</v>
      </c>
      <c r="B19" s="4">
        <v>46133.333333333336</v>
      </c>
      <c r="C19" s="5" t="s">
        <v>125</v>
      </c>
      <c r="D19" s="3">
        <v>8.0399999999999991</v>
      </c>
      <c r="E19" s="3">
        <v>5.5469999999999997</v>
      </c>
      <c r="F19" s="3">
        <v>5.6529999999999996</v>
      </c>
      <c r="G19" s="3">
        <v>0.10599999999999987</v>
      </c>
      <c r="H19" s="3" t="s">
        <v>250</v>
      </c>
      <c r="I19" s="3" t="s">
        <v>243</v>
      </c>
      <c r="J19" s="3" t="s">
        <v>244</v>
      </c>
      <c r="K19" s="3"/>
      <c r="L19" s="3"/>
      <c r="M19" s="3"/>
      <c r="N19" s="3"/>
    </row>
    <row r="20" spans="1:14">
      <c r="A20" s="3" t="s">
        <v>258</v>
      </c>
      <c r="B20" s="4">
        <v>46135.666666666664</v>
      </c>
      <c r="C20" s="5" t="s">
        <v>125</v>
      </c>
      <c r="D20" s="3">
        <v>10.44</v>
      </c>
      <c r="E20" s="3">
        <v>5.5419999999999998</v>
      </c>
      <c r="F20" s="3">
        <v>5.6449999999999996</v>
      </c>
      <c r="G20" s="3">
        <v>0.10299999999999976</v>
      </c>
      <c r="H20" s="3" t="s">
        <v>250</v>
      </c>
      <c r="I20" s="3" t="s">
        <v>243</v>
      </c>
      <c r="J20" s="3" t="s">
        <v>244</v>
      </c>
      <c r="K20" s="3"/>
      <c r="L20" s="3"/>
      <c r="M20" s="3"/>
      <c r="N20" s="3"/>
    </row>
    <row r="21" spans="1:14">
      <c r="A21" s="3" t="s">
        <v>259</v>
      </c>
      <c r="B21" s="4">
        <v>46136.333333333336</v>
      </c>
      <c r="C21" s="5" t="s">
        <v>125</v>
      </c>
      <c r="D21" s="3">
        <v>10.299999999999999</v>
      </c>
      <c r="E21" s="3">
        <v>5.5968</v>
      </c>
      <c r="F21" s="3">
        <v>5.6890000000000001</v>
      </c>
      <c r="G21" s="3">
        <v>9.220000000000006E-2</v>
      </c>
      <c r="H21" s="3" t="s">
        <v>131</v>
      </c>
      <c r="I21" s="3" t="s">
        <v>243</v>
      </c>
      <c r="J21" s="3"/>
      <c r="K21" s="3"/>
      <c r="L21" s="3"/>
      <c r="M21" s="3"/>
      <c r="N21" s="3"/>
    </row>
    <row r="22" spans="1:14">
      <c r="A22" s="3" t="s">
        <v>260</v>
      </c>
      <c r="B22" s="4">
        <v>46129.666666666664</v>
      </c>
      <c r="C22" s="5" t="s">
        <v>125</v>
      </c>
      <c r="D22" s="3">
        <v>1.17</v>
      </c>
      <c r="E22" s="3">
        <v>5.64</v>
      </c>
      <c r="F22" s="3">
        <v>5.6970000000000001</v>
      </c>
      <c r="G22" s="3">
        <v>5.7000000000000384E-2</v>
      </c>
      <c r="H22" s="3" t="s">
        <v>131</v>
      </c>
      <c r="I22" s="3" t="s">
        <v>243</v>
      </c>
      <c r="J22" s="3" t="s">
        <v>244</v>
      </c>
      <c r="K22" s="3"/>
      <c r="L22" s="3"/>
      <c r="M22" s="3"/>
      <c r="N22" s="3"/>
    </row>
    <row r="23" spans="1:14">
      <c r="A23" s="3" t="s">
        <v>265</v>
      </c>
      <c r="B23" s="4">
        <v>46131.666666666664</v>
      </c>
      <c r="C23" s="5" t="s">
        <v>125</v>
      </c>
      <c r="D23" s="3">
        <v>3.8100000000000005</v>
      </c>
      <c r="E23" s="3">
        <v>5.53</v>
      </c>
      <c r="F23" s="3">
        <v>5.6139999999999999</v>
      </c>
      <c r="G23" s="3">
        <v>8.3999999999999631E-2</v>
      </c>
      <c r="H23" s="3" t="s">
        <v>250</v>
      </c>
      <c r="I23" s="3" t="s">
        <v>243</v>
      </c>
      <c r="J23" s="3" t="s">
        <v>244</v>
      </c>
      <c r="K23" s="3"/>
      <c r="L23" s="3"/>
      <c r="M23" s="3"/>
      <c r="N23" s="3"/>
    </row>
    <row r="24" spans="1:14">
      <c r="A24" s="3" t="s">
        <v>268</v>
      </c>
      <c r="B24" s="4">
        <v>46133.333333333336</v>
      </c>
      <c r="C24" s="5" t="s">
        <v>125</v>
      </c>
      <c r="D24" s="3">
        <v>7.87</v>
      </c>
      <c r="E24" s="3">
        <v>5.61</v>
      </c>
      <c r="F24" s="3">
        <v>5.7320000000000002</v>
      </c>
      <c r="G24" s="3">
        <v>0.12199999999999989</v>
      </c>
      <c r="H24" s="3" t="s">
        <v>250</v>
      </c>
      <c r="I24" s="3" t="s">
        <v>243</v>
      </c>
      <c r="J24" s="3" t="s">
        <v>244</v>
      </c>
      <c r="K24" s="3"/>
      <c r="L24" s="3"/>
      <c r="M24" s="3"/>
      <c r="N24" s="3"/>
    </row>
    <row r="25" spans="1:14">
      <c r="A25" s="3" t="s">
        <v>273</v>
      </c>
      <c r="B25" s="4">
        <v>46135.666666666664</v>
      </c>
      <c r="C25" s="5" t="s">
        <v>125</v>
      </c>
      <c r="D25" s="3">
        <v>10.44</v>
      </c>
      <c r="E25" s="3">
        <v>5.585</v>
      </c>
      <c r="F25" s="3">
        <v>5.7060000000000004</v>
      </c>
      <c r="G25" s="3">
        <v>0.12100000000000044</v>
      </c>
      <c r="H25" s="3" t="s">
        <v>250</v>
      </c>
      <c r="I25" s="3" t="s">
        <v>243</v>
      </c>
      <c r="J25" s="3" t="s">
        <v>244</v>
      </c>
      <c r="K25" s="3"/>
      <c r="L25" s="3"/>
      <c r="M25" s="3"/>
      <c r="N25" s="3"/>
    </row>
    <row r="26" spans="1:14">
      <c r="A26" s="3" t="s">
        <v>274</v>
      </c>
      <c r="B26" s="4">
        <v>46136.333333333336</v>
      </c>
      <c r="C26" s="5" t="s">
        <v>125</v>
      </c>
      <c r="D26" s="3">
        <v>10.379999999999999</v>
      </c>
      <c r="E26" s="3">
        <v>5.5890000000000004</v>
      </c>
      <c r="F26" s="3">
        <v>5.6920000000000002</v>
      </c>
      <c r="G26" s="3">
        <v>0.10299999999999976</v>
      </c>
      <c r="H26" s="3" t="s">
        <v>131</v>
      </c>
      <c r="I26" s="3" t="s">
        <v>243</v>
      </c>
      <c r="J26" s="3"/>
      <c r="K26" s="3"/>
      <c r="L26" s="3"/>
      <c r="M26" s="3"/>
      <c r="N26" s="3"/>
    </row>
    <row r="27" spans="1:14">
      <c r="A27" s="3" t="s">
        <v>275</v>
      </c>
      <c r="B27" s="4">
        <v>46129.666666666664</v>
      </c>
      <c r="C27" s="5" t="s">
        <v>125</v>
      </c>
      <c r="D27" s="3">
        <v>1.23</v>
      </c>
      <c r="E27" s="3">
        <v>5.63</v>
      </c>
      <c r="F27" s="3">
        <v>5.6970000000000001</v>
      </c>
      <c r="G27" s="3">
        <v>6.7000000000000171E-2</v>
      </c>
      <c r="H27" s="3" t="s">
        <v>131</v>
      </c>
      <c r="I27" s="3" t="s">
        <v>243</v>
      </c>
      <c r="J27" s="3" t="s">
        <v>244</v>
      </c>
      <c r="K27" s="3"/>
      <c r="L27" s="3"/>
      <c r="M27" s="3"/>
      <c r="N27" s="3"/>
    </row>
    <row r="28" spans="1:14">
      <c r="A28" s="3" t="s">
        <v>280</v>
      </c>
      <c r="B28" s="4">
        <v>46131.666666666664</v>
      </c>
      <c r="C28" s="5" t="s">
        <v>125</v>
      </c>
      <c r="D28" s="3">
        <v>4.9400000000000004</v>
      </c>
      <c r="E28" s="3">
        <v>5.6230000000000002</v>
      </c>
      <c r="F28" s="3">
        <v>5.7050000000000001</v>
      </c>
      <c r="G28" s="3">
        <v>8.1999999999999851E-2</v>
      </c>
      <c r="H28" s="3" t="s">
        <v>250</v>
      </c>
      <c r="I28" s="3" t="s">
        <v>243</v>
      </c>
      <c r="J28" s="3" t="s">
        <v>244</v>
      </c>
      <c r="K28" s="3"/>
      <c r="L28" s="3"/>
      <c r="M28" s="3"/>
      <c r="N28" s="3"/>
    </row>
    <row r="29" spans="1:14">
      <c r="A29" s="3" t="s">
        <v>281</v>
      </c>
      <c r="B29" s="4">
        <v>46132.333333333336</v>
      </c>
      <c r="C29" s="5" t="s">
        <v>125</v>
      </c>
      <c r="D29" s="3">
        <v>7.28</v>
      </c>
      <c r="E29" s="3">
        <v>5.5484</v>
      </c>
      <c r="F29" s="3">
        <v>5.56</v>
      </c>
      <c r="G29" s="3">
        <v>1.1599999999999611E-2</v>
      </c>
      <c r="H29" s="3" t="s">
        <v>250</v>
      </c>
      <c r="I29" s="3" t="s">
        <v>243</v>
      </c>
      <c r="J29" s="3" t="s">
        <v>244</v>
      </c>
      <c r="K29" s="3"/>
      <c r="L29" s="3"/>
      <c r="M29" s="3"/>
      <c r="N29" s="3"/>
    </row>
    <row r="30" spans="1:14">
      <c r="A30" s="3" t="s">
        <v>287</v>
      </c>
      <c r="B30" s="4">
        <v>46135.666666666664</v>
      </c>
      <c r="C30" s="5" t="s">
        <v>125</v>
      </c>
      <c r="D30" s="3">
        <v>9.93</v>
      </c>
      <c r="E30" s="3">
        <v>5.5549999999999997</v>
      </c>
      <c r="F30" s="3">
        <v>5.6849999999999996</v>
      </c>
      <c r="G30" s="3">
        <v>0.12999999999999989</v>
      </c>
      <c r="H30" s="3" t="s">
        <v>250</v>
      </c>
      <c r="I30" s="3" t="s">
        <v>243</v>
      </c>
      <c r="J30" s="3" t="s">
        <v>244</v>
      </c>
      <c r="K30" s="3"/>
      <c r="L30" s="3"/>
      <c r="M30" s="3"/>
      <c r="N30" s="3"/>
    </row>
    <row r="31" spans="1:14">
      <c r="A31" s="3" t="s">
        <v>288</v>
      </c>
      <c r="B31" s="4">
        <v>46136.333333333336</v>
      </c>
      <c r="C31" s="5" t="s">
        <v>125</v>
      </c>
      <c r="D31" s="3">
        <v>10.25</v>
      </c>
      <c r="E31" s="3">
        <v>5.5381</v>
      </c>
      <c r="F31" s="3">
        <v>5.6459999999999999</v>
      </c>
      <c r="G31" s="3">
        <v>0.10789999999999988</v>
      </c>
      <c r="H31" s="3" t="s">
        <v>131</v>
      </c>
      <c r="I31" s="3" t="s">
        <v>243</v>
      </c>
      <c r="J31" s="3"/>
      <c r="K31" s="3"/>
      <c r="L31" s="3"/>
      <c r="M31" s="3"/>
      <c r="N31" s="3"/>
    </row>
    <row r="32" spans="1:14">
      <c r="A32" s="3" t="s">
        <v>289</v>
      </c>
      <c r="B32" s="4">
        <v>46154.416666666664</v>
      </c>
      <c r="C32" s="5" t="s">
        <v>125</v>
      </c>
      <c r="D32" s="3"/>
      <c r="E32" s="3"/>
      <c r="F32" s="3"/>
      <c r="G32" s="3"/>
      <c r="H32" s="3" t="s">
        <v>250</v>
      </c>
      <c r="I32" s="3" t="s">
        <v>243</v>
      </c>
      <c r="J32" s="3" t="s">
        <v>244</v>
      </c>
      <c r="K32" s="3"/>
      <c r="L32" s="3"/>
      <c r="M32" s="3"/>
      <c r="N32" s="3" t="s">
        <v>497</v>
      </c>
    </row>
    <row r="33" spans="1:14">
      <c r="A33" s="3" t="s">
        <v>307</v>
      </c>
      <c r="B33" s="4">
        <v>46157.916666666664</v>
      </c>
      <c r="C33" s="5" t="s">
        <v>125</v>
      </c>
      <c r="D33" s="3"/>
      <c r="E33" s="3"/>
      <c r="F33" s="3"/>
      <c r="G33" s="3"/>
      <c r="H33" s="3" t="s">
        <v>131</v>
      </c>
      <c r="I33" s="3" t="s">
        <v>243</v>
      </c>
      <c r="J33" s="3" t="s">
        <v>133</v>
      </c>
      <c r="K33" s="3"/>
      <c r="L33" s="3"/>
      <c r="M33" s="3"/>
      <c r="N33" s="3" t="s">
        <v>497</v>
      </c>
    </row>
    <row r="34" spans="1:14">
      <c r="A34" s="3" t="s">
        <v>316</v>
      </c>
      <c r="B34" s="4">
        <v>46162.416666666664</v>
      </c>
      <c r="C34" s="5" t="s">
        <v>125</v>
      </c>
      <c r="D34" s="3"/>
      <c r="E34" s="3"/>
      <c r="F34" s="3"/>
      <c r="G34" s="3"/>
      <c r="H34" s="3" t="s">
        <v>131</v>
      </c>
      <c r="I34" s="3" t="s">
        <v>131</v>
      </c>
      <c r="J34" s="3" t="s">
        <v>133</v>
      </c>
      <c r="K34" s="3"/>
      <c r="L34" s="3"/>
      <c r="M34" s="3"/>
      <c r="N34" s="3" t="s">
        <v>498</v>
      </c>
    </row>
    <row r="35" spans="1:14">
      <c r="A35" s="3" t="s">
        <v>318</v>
      </c>
      <c r="B35" s="4">
        <v>46154.416666666664</v>
      </c>
      <c r="C35" s="5" t="s">
        <v>125</v>
      </c>
      <c r="D35" s="3"/>
      <c r="E35" s="3"/>
      <c r="F35" s="3"/>
      <c r="G35" s="3"/>
      <c r="H35" s="3" t="s">
        <v>250</v>
      </c>
      <c r="I35" s="3" t="s">
        <v>243</v>
      </c>
      <c r="J35" s="3" t="s">
        <v>244</v>
      </c>
      <c r="K35" s="3"/>
      <c r="L35" s="3"/>
      <c r="M35" s="3"/>
      <c r="N35" s="3" t="s">
        <v>497</v>
      </c>
    </row>
    <row r="36" spans="1:14">
      <c r="A36" s="3" t="s">
        <v>327</v>
      </c>
      <c r="B36" s="4">
        <v>46155.416666666664</v>
      </c>
      <c r="C36" s="5" t="s">
        <v>125</v>
      </c>
      <c r="D36" s="3"/>
      <c r="E36" s="3"/>
      <c r="F36" s="3"/>
      <c r="G36" s="3"/>
      <c r="H36" s="3" t="s">
        <v>250</v>
      </c>
      <c r="I36" s="3" t="s">
        <v>243</v>
      </c>
      <c r="J36" s="3" t="s">
        <v>244</v>
      </c>
      <c r="K36" s="3"/>
      <c r="L36" s="3"/>
      <c r="M36" s="3"/>
      <c r="N36" s="3" t="s">
        <v>497</v>
      </c>
    </row>
    <row r="37" spans="1:14">
      <c r="A37" s="3" t="s">
        <v>330</v>
      </c>
      <c r="B37" s="4">
        <v>46156.916666666664</v>
      </c>
      <c r="C37" s="5" t="s">
        <v>125</v>
      </c>
      <c r="D37" s="3"/>
      <c r="E37" s="3"/>
      <c r="F37" s="3"/>
      <c r="G37" s="3"/>
      <c r="H37" s="3" t="s">
        <v>131</v>
      </c>
      <c r="I37" s="3" t="s">
        <v>243</v>
      </c>
      <c r="J37" s="3" t="s">
        <v>133</v>
      </c>
      <c r="K37" s="3"/>
      <c r="L37" s="3"/>
      <c r="M37" s="3"/>
      <c r="N37" s="3" t="s">
        <v>497</v>
      </c>
    </row>
    <row r="38" spans="1:14">
      <c r="A38" s="3" t="s">
        <v>332</v>
      </c>
      <c r="B38" s="4">
        <v>46157.416666666664</v>
      </c>
      <c r="C38" s="5" t="s">
        <v>125</v>
      </c>
      <c r="D38" s="3"/>
      <c r="E38" s="3"/>
      <c r="F38" s="3"/>
      <c r="G38" s="3"/>
      <c r="H38" s="3" t="s">
        <v>250</v>
      </c>
      <c r="I38" s="3" t="s">
        <v>243</v>
      </c>
      <c r="J38" s="3" t="s">
        <v>244</v>
      </c>
      <c r="K38" s="3"/>
      <c r="L38" s="3"/>
      <c r="M38" s="3"/>
      <c r="N38" s="3" t="s">
        <v>497</v>
      </c>
    </row>
    <row r="39" spans="1:14">
      <c r="A39" s="3" t="s">
        <v>486</v>
      </c>
      <c r="B39" s="4">
        <v>46161.416666666664</v>
      </c>
      <c r="C39" s="5" t="s">
        <v>125</v>
      </c>
      <c r="D39" s="3"/>
      <c r="E39" s="3"/>
      <c r="F39" s="3"/>
      <c r="G39" s="3"/>
      <c r="H39" s="3" t="s">
        <v>131</v>
      </c>
      <c r="I39" s="3" t="s">
        <v>131</v>
      </c>
      <c r="J39" s="3" t="s">
        <v>133</v>
      </c>
      <c r="K39" s="3"/>
      <c r="L39" s="3"/>
      <c r="M39" s="3"/>
      <c r="N39" s="3" t="s">
        <v>498</v>
      </c>
    </row>
    <row r="40" spans="1:14">
      <c r="A40" s="3" t="s">
        <v>339</v>
      </c>
      <c r="B40" s="4">
        <v>46154.416666666664</v>
      </c>
      <c r="C40" s="5" t="s">
        <v>125</v>
      </c>
      <c r="D40" s="3"/>
      <c r="E40" s="3"/>
      <c r="F40" s="3"/>
      <c r="G40" s="3"/>
      <c r="H40" s="3" t="s">
        <v>250</v>
      </c>
      <c r="I40" s="3" t="s">
        <v>243</v>
      </c>
      <c r="J40" s="3" t="s">
        <v>244</v>
      </c>
      <c r="K40" s="3"/>
      <c r="L40" s="3"/>
      <c r="M40" s="3"/>
      <c r="N40" s="3" t="s">
        <v>497</v>
      </c>
    </row>
    <row r="41" spans="1:14">
      <c r="A41" s="3" t="s">
        <v>347</v>
      </c>
      <c r="B41" s="4">
        <v>46156.916666666664</v>
      </c>
      <c r="C41" s="5" t="s">
        <v>125</v>
      </c>
      <c r="D41" s="3"/>
      <c r="E41" s="3"/>
      <c r="F41" s="3"/>
      <c r="G41" s="3"/>
      <c r="H41" s="3" t="s">
        <v>250</v>
      </c>
      <c r="I41" s="3" t="s">
        <v>243</v>
      </c>
      <c r="J41" s="3" t="s">
        <v>244</v>
      </c>
      <c r="K41" s="3"/>
      <c r="L41" s="3"/>
      <c r="M41" s="3"/>
      <c r="N41" s="3" t="s">
        <v>497</v>
      </c>
    </row>
    <row r="42" spans="1:14">
      <c r="A42" s="3" t="s">
        <v>351</v>
      </c>
      <c r="B42" s="4">
        <v>46157.916666666664</v>
      </c>
      <c r="C42" s="5" t="s">
        <v>125</v>
      </c>
      <c r="D42" s="3"/>
      <c r="E42" s="3"/>
      <c r="F42" s="3"/>
      <c r="G42" s="3"/>
      <c r="H42" s="3" t="s">
        <v>131</v>
      </c>
      <c r="I42" s="3" t="s">
        <v>243</v>
      </c>
      <c r="J42" s="3" t="s">
        <v>133</v>
      </c>
      <c r="K42" s="3"/>
      <c r="L42" s="3"/>
      <c r="M42" s="3"/>
      <c r="N42" s="3" t="s">
        <v>497</v>
      </c>
    </row>
    <row r="43" spans="1:14">
      <c r="A43" s="3" t="s">
        <v>354</v>
      </c>
      <c r="B43" s="4">
        <v>46158.416666666664</v>
      </c>
      <c r="C43" s="5" t="s">
        <v>125</v>
      </c>
      <c r="D43" s="3"/>
      <c r="E43" s="3"/>
      <c r="F43" s="3"/>
      <c r="G43" s="3"/>
      <c r="H43" s="3" t="s">
        <v>250</v>
      </c>
      <c r="I43" s="3" t="s">
        <v>243</v>
      </c>
      <c r="J43" s="3" t="s">
        <v>244</v>
      </c>
      <c r="K43" s="3"/>
      <c r="L43" s="3"/>
      <c r="M43" s="3"/>
      <c r="N43" s="3" t="s">
        <v>497</v>
      </c>
    </row>
    <row r="44" spans="1:14">
      <c r="A44" s="3" t="s">
        <v>494</v>
      </c>
      <c r="B44" s="4">
        <v>46161.416666666664</v>
      </c>
      <c r="C44" s="5" t="s">
        <v>125</v>
      </c>
      <c r="D44" s="3"/>
      <c r="E44" s="3"/>
      <c r="F44" s="3"/>
      <c r="G44" s="3"/>
      <c r="H44" s="3" t="s">
        <v>131</v>
      </c>
      <c r="I44" s="3" t="s">
        <v>131</v>
      </c>
      <c r="J44" s="3" t="s">
        <v>133</v>
      </c>
      <c r="K44" s="3"/>
      <c r="L44" s="3"/>
      <c r="M44" s="3"/>
      <c r="N44" s="3" t="s">
        <v>498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4"/>
  <sheetViews>
    <sheetView workbookViewId="0"/>
  </sheetViews>
  <sheetFormatPr baseColWidth="10" defaultColWidth="9" defaultRowHeight="14.25"/>
  <cols>
    <col min="1" max="6" width="13" customWidth="1"/>
    <col min="7" max="7" width="32" customWidth="1"/>
    <col min="8" max="8" width="18" customWidth="1"/>
    <col min="9" max="9" width="13" customWidth="1"/>
    <col min="10" max="10" width="32" customWidth="1"/>
  </cols>
  <sheetData>
    <row r="1" spans="1:10" ht="32.1" customHeight="1">
      <c r="A1" s="1" t="s">
        <v>434</v>
      </c>
      <c r="B1" s="1" t="s">
        <v>499</v>
      </c>
      <c r="C1" s="1" t="s">
        <v>367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376</v>
      </c>
    </row>
    <row r="2" spans="1:10">
      <c r="A2" s="3" t="s">
        <v>118</v>
      </c>
      <c r="B2" s="3" t="s">
        <v>28</v>
      </c>
      <c r="C2" s="4">
        <v>46177.541666666664</v>
      </c>
      <c r="D2" s="3">
        <v>10</v>
      </c>
      <c r="E2" s="3">
        <v>0</v>
      </c>
      <c r="F2" s="3">
        <v>1.23</v>
      </c>
      <c r="G2" s="3">
        <v>12.5</v>
      </c>
      <c r="H2" s="3">
        <v>1141.0347271438698</v>
      </c>
      <c r="I2" s="3">
        <v>8858.9652728561305</v>
      </c>
      <c r="J2" s="3" t="s">
        <v>506</v>
      </c>
    </row>
    <row r="3" spans="1:10">
      <c r="A3" s="3" t="s">
        <v>156</v>
      </c>
      <c r="B3" s="3" t="s">
        <v>28</v>
      </c>
      <c r="C3" s="4">
        <v>46238.625</v>
      </c>
      <c r="D3" s="3">
        <v>10</v>
      </c>
      <c r="E3" s="3">
        <v>0</v>
      </c>
      <c r="F3" s="3">
        <v>3.87</v>
      </c>
      <c r="G3" s="3">
        <v>12.5</v>
      </c>
      <c r="H3" s="3">
        <v>897.74264017476332</v>
      </c>
      <c r="I3" s="3">
        <v>9102.2573598252366</v>
      </c>
      <c r="J3" s="3" t="s">
        <v>506</v>
      </c>
    </row>
    <row r="4" spans="1:10">
      <c r="A4" s="3" t="s">
        <v>168</v>
      </c>
      <c r="B4" s="3" t="s">
        <v>28</v>
      </c>
      <c r="C4" s="4">
        <v>46299.333333333336</v>
      </c>
      <c r="D4" s="3">
        <v>10</v>
      </c>
      <c r="E4" s="3">
        <v>0</v>
      </c>
      <c r="F4" s="3">
        <v>8.0699999999999985</v>
      </c>
      <c r="G4" s="3">
        <v>12.5</v>
      </c>
      <c r="H4" s="3">
        <v>481.88839334276088</v>
      </c>
      <c r="I4" s="3">
        <v>9518.1116066572395</v>
      </c>
      <c r="J4" s="3" t="s">
        <v>506</v>
      </c>
    </row>
    <row r="5" spans="1:10">
      <c r="A5" s="3" t="s">
        <v>182</v>
      </c>
      <c r="B5" s="3" t="s">
        <v>28</v>
      </c>
      <c r="C5" s="4">
        <v>46360.625</v>
      </c>
      <c r="D5" s="3">
        <v>10</v>
      </c>
      <c r="E5" s="3">
        <v>0</v>
      </c>
      <c r="F5" s="3">
        <v>10.58</v>
      </c>
      <c r="G5" s="3">
        <v>12.5</v>
      </c>
      <c r="H5" s="3">
        <v>214.71706553343776</v>
      </c>
      <c r="I5" s="3">
        <v>9785.2829344665624</v>
      </c>
      <c r="J5" s="3" t="s">
        <v>506</v>
      </c>
    </row>
    <row r="6" spans="1:10">
      <c r="A6" s="3" t="s">
        <v>185</v>
      </c>
      <c r="B6" s="3" t="s">
        <v>28</v>
      </c>
      <c r="C6" s="4" t="s">
        <v>186</v>
      </c>
      <c r="D6" s="3">
        <v>10</v>
      </c>
      <c r="E6" s="3">
        <v>0</v>
      </c>
      <c r="F6" s="3">
        <v>10.44</v>
      </c>
      <c r="G6" s="3">
        <v>12.5</v>
      </c>
      <c r="H6" s="3">
        <v>230.01339883876739</v>
      </c>
      <c r="I6" s="3">
        <v>9769.9866011612321</v>
      </c>
      <c r="J6" s="3" t="s">
        <v>506</v>
      </c>
    </row>
    <row r="7" spans="1:10">
      <c r="A7" s="3" t="s">
        <v>189</v>
      </c>
      <c r="B7" s="3" t="s">
        <v>31</v>
      </c>
      <c r="C7" s="4">
        <v>46177.541666666664</v>
      </c>
      <c r="D7" s="3">
        <v>10</v>
      </c>
      <c r="E7" s="3">
        <v>0</v>
      </c>
      <c r="F7" s="3">
        <v>1.24</v>
      </c>
      <c r="G7" s="3">
        <v>12.5</v>
      </c>
      <c r="H7" s="3">
        <v>1140.1377075739165</v>
      </c>
      <c r="I7" s="3">
        <v>8859.8622924260835</v>
      </c>
      <c r="J7" s="3" t="s">
        <v>506</v>
      </c>
    </row>
    <row r="8" spans="1:10">
      <c r="A8" s="3" t="s">
        <v>197</v>
      </c>
      <c r="B8" s="3" t="s">
        <v>31</v>
      </c>
      <c r="C8" s="4">
        <v>46238.625</v>
      </c>
      <c r="D8" s="3">
        <v>10</v>
      </c>
      <c r="E8" s="3">
        <v>0</v>
      </c>
      <c r="F8" s="3">
        <v>3.96</v>
      </c>
      <c r="G8" s="3">
        <v>12.5</v>
      </c>
      <c r="H8" s="3">
        <v>889.21282798833818</v>
      </c>
      <c r="I8" s="3">
        <v>9110.7871720116618</v>
      </c>
      <c r="J8" s="3" t="s">
        <v>506</v>
      </c>
    </row>
    <row r="9" spans="1:10">
      <c r="A9" s="3" t="s">
        <v>201</v>
      </c>
      <c r="B9" s="3" t="s">
        <v>31</v>
      </c>
      <c r="C9" s="4">
        <v>46299.333333333336</v>
      </c>
      <c r="D9" s="3">
        <v>10</v>
      </c>
      <c r="E9" s="3">
        <v>0</v>
      </c>
      <c r="F9" s="3">
        <v>7.8500000000000005</v>
      </c>
      <c r="G9" s="3">
        <v>12.5</v>
      </c>
      <c r="H9" s="3">
        <v>504.61204557786209</v>
      </c>
      <c r="I9" s="3">
        <v>9495.3879544221381</v>
      </c>
      <c r="J9" s="3" t="s">
        <v>506</v>
      </c>
    </row>
    <row r="10" spans="1:10">
      <c r="A10" s="3" t="s">
        <v>206</v>
      </c>
      <c r="B10" s="3" t="s">
        <v>31</v>
      </c>
      <c r="C10" s="4">
        <v>46360.625</v>
      </c>
      <c r="D10" s="3">
        <v>10</v>
      </c>
      <c r="E10" s="3">
        <v>0</v>
      </c>
      <c r="F10" s="3">
        <v>10.639999999999999</v>
      </c>
      <c r="G10" s="3">
        <v>12.5</v>
      </c>
      <c r="H10" s="3">
        <v>208.14682184422571</v>
      </c>
      <c r="I10" s="3">
        <v>9791.853178155774</v>
      </c>
      <c r="J10" s="3" t="s">
        <v>506</v>
      </c>
    </row>
    <row r="11" spans="1:10">
      <c r="A11" s="3" t="s">
        <v>207</v>
      </c>
      <c r="B11" s="3" t="s">
        <v>31</v>
      </c>
      <c r="C11" s="4" t="s">
        <v>186</v>
      </c>
      <c r="D11" s="3">
        <v>10</v>
      </c>
      <c r="E11" s="3">
        <v>0</v>
      </c>
      <c r="F11" s="3">
        <v>10.219999999999999</v>
      </c>
      <c r="G11" s="3">
        <v>12.5</v>
      </c>
      <c r="H11" s="3">
        <v>253.95411004678115</v>
      </c>
      <c r="I11" s="3">
        <v>9746.0458899532186</v>
      </c>
      <c r="J11" s="3" t="s">
        <v>506</v>
      </c>
    </row>
    <row r="12" spans="1:10">
      <c r="A12" s="3" t="s">
        <v>208</v>
      </c>
      <c r="B12" s="3" t="s">
        <v>32</v>
      </c>
      <c r="C12" s="4">
        <v>46177.541666666664</v>
      </c>
      <c r="D12" s="3">
        <v>10</v>
      </c>
      <c r="E12" s="3">
        <v>0</v>
      </c>
      <c r="F12" s="3">
        <v>1.25</v>
      </c>
      <c r="G12" s="3">
        <v>12.5</v>
      </c>
      <c r="H12" s="3">
        <v>1139.2405063291139</v>
      </c>
      <c r="I12" s="3">
        <v>8860.7594936708865</v>
      </c>
      <c r="J12" s="3" t="s">
        <v>506</v>
      </c>
    </row>
    <row r="13" spans="1:10">
      <c r="A13" s="3" t="s">
        <v>219</v>
      </c>
      <c r="B13" s="3" t="s">
        <v>32</v>
      </c>
      <c r="C13" s="4">
        <v>46238.625</v>
      </c>
      <c r="D13" s="3">
        <v>10</v>
      </c>
      <c r="E13" s="3">
        <v>0</v>
      </c>
      <c r="F13" s="3">
        <v>2.6700000000000004</v>
      </c>
      <c r="G13" s="3">
        <v>12.5</v>
      </c>
      <c r="H13" s="3">
        <v>1009.9660947292715</v>
      </c>
      <c r="I13" s="3">
        <v>8990.0339052707277</v>
      </c>
      <c r="J13" s="3" t="s">
        <v>506</v>
      </c>
    </row>
    <row r="14" spans="1:10">
      <c r="A14" s="3" t="s">
        <v>224</v>
      </c>
      <c r="B14" s="3" t="s">
        <v>32</v>
      </c>
      <c r="C14" s="4">
        <v>46330.333333333336</v>
      </c>
      <c r="D14" s="3">
        <v>10</v>
      </c>
      <c r="E14" s="3">
        <v>0</v>
      </c>
      <c r="F14" s="3">
        <v>7.8199999999999994</v>
      </c>
      <c r="G14" s="3">
        <v>12.5</v>
      </c>
      <c r="H14" s="3">
        <v>507.70232154480379</v>
      </c>
      <c r="I14" s="3">
        <v>9492.2976784551956</v>
      </c>
      <c r="J14" s="3" t="s">
        <v>506</v>
      </c>
    </row>
    <row r="15" spans="1:10">
      <c r="A15" s="3" t="s">
        <v>229</v>
      </c>
      <c r="B15" s="3" t="s">
        <v>32</v>
      </c>
      <c r="C15" s="4">
        <v>46360.625</v>
      </c>
      <c r="D15" s="3">
        <v>10</v>
      </c>
      <c r="E15" s="3">
        <v>0</v>
      </c>
      <c r="F15" s="3">
        <v>9.77</v>
      </c>
      <c r="G15" s="3">
        <v>12.5</v>
      </c>
      <c r="H15" s="3">
        <v>302.56012412723055</v>
      </c>
      <c r="I15" s="3">
        <v>9697.4398758727693</v>
      </c>
      <c r="J15" s="3" t="s">
        <v>506</v>
      </c>
    </row>
    <row r="16" spans="1:10">
      <c r="A16" s="3" t="s">
        <v>236</v>
      </c>
      <c r="B16" s="3" t="s">
        <v>32</v>
      </c>
      <c r="C16" s="4" t="s">
        <v>237</v>
      </c>
      <c r="D16" s="3">
        <v>10</v>
      </c>
      <c r="E16" s="3">
        <v>0</v>
      </c>
      <c r="F16" s="3">
        <v>10.479999999999999</v>
      </c>
      <c r="G16" s="3">
        <v>12.5</v>
      </c>
      <c r="H16" s="3">
        <v>225.64789991063469</v>
      </c>
      <c r="I16" s="3">
        <v>9774.3521000893652</v>
      </c>
      <c r="J16" s="3" t="s">
        <v>506</v>
      </c>
    </row>
    <row r="17" spans="1:10">
      <c r="A17" s="3" t="s">
        <v>507</v>
      </c>
      <c r="B17" s="3" t="s">
        <v>34</v>
      </c>
      <c r="C17" s="4">
        <v>46129.666666666664</v>
      </c>
      <c r="D17" s="3">
        <v>10</v>
      </c>
      <c r="E17" s="3">
        <v>0</v>
      </c>
      <c r="F17" s="3">
        <v>1.49</v>
      </c>
      <c r="G17" s="3">
        <v>12.5</v>
      </c>
      <c r="H17" s="3">
        <v>1117.6530301492232</v>
      </c>
      <c r="I17" s="3">
        <v>8882.3469698507761</v>
      </c>
      <c r="J17" s="3" t="s">
        <v>506</v>
      </c>
    </row>
    <row r="18" spans="1:10">
      <c r="A18" s="3" t="s">
        <v>508</v>
      </c>
      <c r="B18" s="3" t="s">
        <v>34</v>
      </c>
      <c r="C18" s="4">
        <v>46131.666666666664</v>
      </c>
      <c r="D18" s="3">
        <v>10</v>
      </c>
      <c r="E18" s="3">
        <v>0</v>
      </c>
      <c r="F18" s="3">
        <v>3.84</v>
      </c>
      <c r="G18" s="3">
        <v>12.5</v>
      </c>
      <c r="H18" s="3">
        <v>900.58236272878537</v>
      </c>
      <c r="I18" s="3">
        <v>9099.4176372712154</v>
      </c>
      <c r="J18" s="3" t="s">
        <v>506</v>
      </c>
    </row>
    <row r="19" spans="1:10">
      <c r="A19" s="3" t="s">
        <v>509</v>
      </c>
      <c r="B19" s="3" t="s">
        <v>34</v>
      </c>
      <c r="C19" s="4">
        <v>46133.333333333336</v>
      </c>
      <c r="D19" s="3">
        <v>10</v>
      </c>
      <c r="E19" s="3">
        <v>0</v>
      </c>
      <c r="F19" s="3">
        <v>8.0399999999999991</v>
      </c>
      <c r="G19" s="3">
        <v>12.5</v>
      </c>
      <c r="H19" s="3">
        <v>484.99347542409748</v>
      </c>
      <c r="I19" s="3">
        <v>9515.0065245759033</v>
      </c>
      <c r="J19" s="3" t="s">
        <v>506</v>
      </c>
    </row>
    <row r="20" spans="1:10">
      <c r="A20" s="3" t="s">
        <v>510</v>
      </c>
      <c r="B20" s="3" t="s">
        <v>34</v>
      </c>
      <c r="C20" s="4">
        <v>46135.666666666664</v>
      </c>
      <c r="D20" s="3">
        <v>10</v>
      </c>
      <c r="E20" s="3">
        <v>0</v>
      </c>
      <c r="F20" s="3">
        <v>10.44</v>
      </c>
      <c r="G20" s="3">
        <v>12.5</v>
      </c>
      <c r="H20" s="3">
        <v>230.01339883876739</v>
      </c>
      <c r="I20" s="3">
        <v>9769.9866011612321</v>
      </c>
      <c r="J20" s="3" t="s">
        <v>506</v>
      </c>
    </row>
    <row r="21" spans="1:10">
      <c r="A21" s="3" t="s">
        <v>511</v>
      </c>
      <c r="B21" s="3" t="s">
        <v>34</v>
      </c>
      <c r="C21" s="4">
        <v>46136.333333333336</v>
      </c>
      <c r="D21" s="3">
        <v>10</v>
      </c>
      <c r="E21" s="3">
        <v>0</v>
      </c>
      <c r="F21" s="3">
        <v>10.299999999999999</v>
      </c>
      <c r="G21" s="3">
        <v>12.5</v>
      </c>
      <c r="H21" s="3">
        <v>245.26198439241932</v>
      </c>
      <c r="I21" s="3">
        <v>9754.7380156075815</v>
      </c>
      <c r="J21" s="3" t="s">
        <v>506</v>
      </c>
    </row>
    <row r="22" spans="1:10">
      <c r="A22" s="3" t="s">
        <v>512</v>
      </c>
      <c r="B22" s="3" t="s">
        <v>38</v>
      </c>
      <c r="C22" s="4">
        <v>46129.666666666664</v>
      </c>
      <c r="D22" s="3">
        <v>10</v>
      </c>
      <c r="E22" s="3">
        <v>0</v>
      </c>
      <c r="F22" s="3">
        <v>1.17</v>
      </c>
      <c r="G22" s="3">
        <v>12.5</v>
      </c>
      <c r="H22" s="3">
        <v>1146.4130324800162</v>
      </c>
      <c r="I22" s="3">
        <v>8853.5869675199829</v>
      </c>
      <c r="J22" s="3" t="s">
        <v>506</v>
      </c>
    </row>
    <row r="23" spans="1:10">
      <c r="A23" s="3" t="s">
        <v>513</v>
      </c>
      <c r="B23" s="3" t="s">
        <v>38</v>
      </c>
      <c r="C23" s="4">
        <v>46131.666666666664</v>
      </c>
      <c r="D23" s="3">
        <v>10</v>
      </c>
      <c r="E23" s="3">
        <v>0</v>
      </c>
      <c r="F23" s="3">
        <v>3.8100000000000005</v>
      </c>
      <c r="G23" s="3">
        <v>12.5</v>
      </c>
      <c r="H23" s="3">
        <v>903.42031396195023</v>
      </c>
      <c r="I23" s="3">
        <v>9096.5796860380506</v>
      </c>
      <c r="J23" s="3" t="s">
        <v>506</v>
      </c>
    </row>
    <row r="24" spans="1:10">
      <c r="A24" s="3" t="s">
        <v>514</v>
      </c>
      <c r="B24" s="3" t="s">
        <v>38</v>
      </c>
      <c r="C24" s="4">
        <v>46133.333333333336</v>
      </c>
      <c r="D24" s="3">
        <v>10</v>
      </c>
      <c r="E24" s="3">
        <v>0</v>
      </c>
      <c r="F24" s="3">
        <v>7.87</v>
      </c>
      <c r="G24" s="3">
        <v>12.5</v>
      </c>
      <c r="H24" s="3">
        <v>502.55074351459893</v>
      </c>
      <c r="I24" s="3">
        <v>9497.4492564854008</v>
      </c>
      <c r="J24" s="3" t="s">
        <v>506</v>
      </c>
    </row>
    <row r="25" spans="1:10">
      <c r="A25" s="3" t="s">
        <v>515</v>
      </c>
      <c r="B25" s="3" t="s">
        <v>38</v>
      </c>
      <c r="C25" s="4">
        <v>46135.666666666664</v>
      </c>
      <c r="D25" s="3">
        <v>10</v>
      </c>
      <c r="E25" s="3">
        <v>0</v>
      </c>
      <c r="F25" s="3">
        <v>10.44</v>
      </c>
      <c r="G25" s="3">
        <v>12.5</v>
      </c>
      <c r="H25" s="3">
        <v>230.01339883876739</v>
      </c>
      <c r="I25" s="3">
        <v>9769.9866011612321</v>
      </c>
      <c r="J25" s="3" t="s">
        <v>506</v>
      </c>
    </row>
    <row r="26" spans="1:10">
      <c r="A26" s="3" t="s">
        <v>516</v>
      </c>
      <c r="B26" s="3" t="s">
        <v>38</v>
      </c>
      <c r="C26" s="4">
        <v>46136.333333333336</v>
      </c>
      <c r="D26" s="3">
        <v>10</v>
      </c>
      <c r="E26" s="3">
        <v>0</v>
      </c>
      <c r="F26" s="3">
        <v>10.379999999999999</v>
      </c>
      <c r="G26" s="3">
        <v>12.5</v>
      </c>
      <c r="H26" s="3">
        <v>236.55434054898478</v>
      </c>
      <c r="I26" s="3">
        <v>9763.4456594510157</v>
      </c>
      <c r="J26" s="3" t="s">
        <v>506</v>
      </c>
    </row>
    <row r="27" spans="1:10">
      <c r="A27" s="3" t="s">
        <v>517</v>
      </c>
      <c r="B27" s="3" t="s">
        <v>39</v>
      </c>
      <c r="C27" s="4">
        <v>46129.666666666664</v>
      </c>
      <c r="D27" s="3">
        <v>10</v>
      </c>
      <c r="E27" s="3">
        <v>0</v>
      </c>
      <c r="F27" s="3">
        <v>1.23</v>
      </c>
      <c r="G27" s="3">
        <v>12.5</v>
      </c>
      <c r="H27" s="3">
        <v>1141.0347271438698</v>
      </c>
      <c r="I27" s="3">
        <v>8858.9652728561305</v>
      </c>
      <c r="J27" s="3" t="s">
        <v>506</v>
      </c>
    </row>
    <row r="28" spans="1:10">
      <c r="A28" s="3" t="s">
        <v>518</v>
      </c>
      <c r="B28" s="3" t="s">
        <v>39</v>
      </c>
      <c r="C28" s="4">
        <v>46131.666666666664</v>
      </c>
      <c r="D28" s="3">
        <v>10</v>
      </c>
      <c r="E28" s="3">
        <v>0</v>
      </c>
      <c r="F28" s="3">
        <v>4.9400000000000004</v>
      </c>
      <c r="G28" s="3">
        <v>12.5</v>
      </c>
      <c r="H28" s="3">
        <v>795.28718703976426</v>
      </c>
      <c r="I28" s="3">
        <v>9204.7128129602352</v>
      </c>
      <c r="J28" s="3" t="s">
        <v>506</v>
      </c>
    </row>
    <row r="29" spans="1:10">
      <c r="A29" s="3" t="s">
        <v>519</v>
      </c>
      <c r="B29" s="3" t="s">
        <v>39</v>
      </c>
      <c r="C29" s="4">
        <v>46132.333333333336</v>
      </c>
      <c r="D29" s="3">
        <v>10</v>
      </c>
      <c r="E29" s="3">
        <v>0</v>
      </c>
      <c r="F29" s="3">
        <v>7.28</v>
      </c>
      <c r="G29" s="3">
        <v>12.5</v>
      </c>
      <c r="H29" s="3">
        <v>562.98533218291641</v>
      </c>
      <c r="I29" s="3">
        <v>9437.014667817084</v>
      </c>
      <c r="J29" s="3" t="s">
        <v>506</v>
      </c>
    </row>
    <row r="30" spans="1:10">
      <c r="A30" s="3" t="s">
        <v>520</v>
      </c>
      <c r="B30" s="3" t="s">
        <v>39</v>
      </c>
      <c r="C30" s="4">
        <v>46135.666666666664</v>
      </c>
      <c r="D30" s="3">
        <v>10</v>
      </c>
      <c r="E30" s="3">
        <v>0</v>
      </c>
      <c r="F30" s="3">
        <v>9.93</v>
      </c>
      <c r="G30" s="3">
        <v>12.5</v>
      </c>
      <c r="H30" s="3">
        <v>285.33362939935614</v>
      </c>
      <c r="I30" s="3">
        <v>9714.6663706006439</v>
      </c>
      <c r="J30" s="3" t="s">
        <v>506</v>
      </c>
    </row>
    <row r="31" spans="1:10">
      <c r="A31" s="3" t="s">
        <v>521</v>
      </c>
      <c r="B31" s="3" t="s">
        <v>39</v>
      </c>
      <c r="C31" s="4">
        <v>46136.333333333336</v>
      </c>
      <c r="D31" s="3">
        <v>10</v>
      </c>
      <c r="E31" s="3">
        <v>0</v>
      </c>
      <c r="F31" s="3">
        <v>10.25</v>
      </c>
      <c r="G31" s="3">
        <v>12.5</v>
      </c>
      <c r="H31" s="3">
        <v>250.69637883008355</v>
      </c>
      <c r="I31" s="3">
        <v>9749.3036211699164</v>
      </c>
      <c r="J31" s="3" t="s">
        <v>506</v>
      </c>
    </row>
    <row r="32" spans="1:10">
      <c r="A32" s="3" t="s">
        <v>289</v>
      </c>
      <c r="B32" s="3" t="s">
        <v>40</v>
      </c>
      <c r="C32" s="4" t="s">
        <v>291</v>
      </c>
      <c r="D32" s="3">
        <v>10</v>
      </c>
      <c r="E32" s="3">
        <v>0</v>
      </c>
      <c r="F32" s="3">
        <v>1.18</v>
      </c>
      <c r="G32" s="3">
        <v>12.5</v>
      </c>
      <c r="H32" s="3">
        <v>1145.517101801255</v>
      </c>
      <c r="I32" s="3">
        <v>8854.4828981987448</v>
      </c>
      <c r="J32" s="3" t="s">
        <v>506</v>
      </c>
    </row>
    <row r="33" spans="1:10">
      <c r="A33" s="3" t="s">
        <v>305</v>
      </c>
      <c r="B33" s="3" t="s">
        <v>40</v>
      </c>
      <c r="C33" s="4">
        <v>46157.416666666664</v>
      </c>
      <c r="D33" s="3">
        <v>10</v>
      </c>
      <c r="E33" s="3">
        <v>0</v>
      </c>
      <c r="F33" s="3">
        <v>2.08</v>
      </c>
      <c r="G33" s="3">
        <v>12.5</v>
      </c>
      <c r="H33" s="3">
        <v>1064.1339869281046</v>
      </c>
      <c r="I33" s="3">
        <v>8935.8660130718963</v>
      </c>
      <c r="J33" s="3" t="s">
        <v>506</v>
      </c>
    </row>
    <row r="34" spans="1:10">
      <c r="A34" s="3" t="s">
        <v>314</v>
      </c>
      <c r="B34" s="3" t="s">
        <v>40</v>
      </c>
      <c r="C34" s="4">
        <v>46161.416666666664</v>
      </c>
      <c r="D34" s="3">
        <v>10</v>
      </c>
      <c r="E34" s="3">
        <v>0</v>
      </c>
      <c r="F34" s="3">
        <v>9.35</v>
      </c>
      <c r="G34" s="3">
        <v>12.5</v>
      </c>
      <c r="H34" s="3">
        <v>347.49034749034746</v>
      </c>
      <c r="I34" s="3">
        <v>9652.5096525096524</v>
      </c>
      <c r="J34" s="3" t="s">
        <v>506</v>
      </c>
    </row>
    <row r="35" spans="1:10">
      <c r="A35" s="3" t="s">
        <v>316</v>
      </c>
      <c r="B35" s="3" t="s">
        <v>40</v>
      </c>
      <c r="C35" s="4">
        <v>46162.416666666664</v>
      </c>
      <c r="D35" s="3">
        <v>10</v>
      </c>
      <c r="E35" s="3">
        <v>0</v>
      </c>
      <c r="F35" s="3">
        <v>10.139999999999999</v>
      </c>
      <c r="G35" s="3">
        <v>12.5</v>
      </c>
      <c r="H35" s="3">
        <v>262.63075895837977</v>
      </c>
      <c r="I35" s="3">
        <v>9737.3692410416206</v>
      </c>
      <c r="J35" s="3" t="s">
        <v>506</v>
      </c>
    </row>
    <row r="36" spans="1:10">
      <c r="A36" s="3" t="s">
        <v>318</v>
      </c>
      <c r="B36" s="3" t="s">
        <v>41</v>
      </c>
      <c r="C36" s="4" t="s">
        <v>291</v>
      </c>
      <c r="D36" s="3">
        <v>10</v>
      </c>
      <c r="E36" s="3">
        <v>0</v>
      </c>
      <c r="F36" s="3">
        <v>1.18</v>
      </c>
      <c r="G36" s="3">
        <v>12.5</v>
      </c>
      <c r="H36" s="3">
        <v>1145.517101801255</v>
      </c>
      <c r="I36" s="3">
        <v>8854.4828981987448</v>
      </c>
      <c r="J36" s="3" t="s">
        <v>506</v>
      </c>
    </row>
    <row r="37" spans="1:10">
      <c r="A37" s="3" t="s">
        <v>324</v>
      </c>
      <c r="B37" s="3" t="s">
        <v>41</v>
      </c>
      <c r="C37" s="4">
        <v>46155.416666666664</v>
      </c>
      <c r="D37" s="3">
        <v>10</v>
      </c>
      <c r="E37" s="3">
        <v>0</v>
      </c>
      <c r="F37" s="3">
        <v>1.28</v>
      </c>
      <c r="G37" s="3">
        <v>12.5</v>
      </c>
      <c r="H37" s="3">
        <v>1136.5478119935171</v>
      </c>
      <c r="I37" s="3">
        <v>8863.4521880064822</v>
      </c>
      <c r="J37" s="3" t="s">
        <v>506</v>
      </c>
    </row>
    <row r="38" spans="1:10">
      <c r="A38" s="3" t="s">
        <v>330</v>
      </c>
      <c r="B38" s="3" t="s">
        <v>41</v>
      </c>
      <c r="C38" s="4" t="s">
        <v>328</v>
      </c>
      <c r="D38" s="3">
        <v>10</v>
      </c>
      <c r="E38" s="3">
        <v>0</v>
      </c>
      <c r="F38" s="3">
        <v>1.82</v>
      </c>
      <c r="G38" s="3">
        <v>12.5</v>
      </c>
      <c r="H38" s="3">
        <v>1087.797922183744</v>
      </c>
      <c r="I38" s="3">
        <v>8912.202077816255</v>
      </c>
      <c r="J38" s="3" t="s">
        <v>506</v>
      </c>
    </row>
    <row r="39" spans="1:10">
      <c r="A39" s="3" t="s">
        <v>332</v>
      </c>
      <c r="B39" s="3" t="s">
        <v>41</v>
      </c>
      <c r="C39" s="4">
        <v>46157.416666666664</v>
      </c>
      <c r="D39" s="3">
        <v>10</v>
      </c>
      <c r="E39" s="3">
        <v>0</v>
      </c>
      <c r="F39" s="3">
        <v>2.4500000000000002</v>
      </c>
      <c r="G39" s="3">
        <v>12.5</v>
      </c>
      <c r="H39" s="3">
        <v>1030.2409021014864</v>
      </c>
      <c r="I39" s="3">
        <v>8969.7590978985136</v>
      </c>
      <c r="J39" s="3" t="s">
        <v>506</v>
      </c>
    </row>
    <row r="40" spans="1:10">
      <c r="A40" s="3" t="s">
        <v>338</v>
      </c>
      <c r="B40" s="3" t="s">
        <v>41</v>
      </c>
      <c r="C40" s="4">
        <v>46161.416666666664</v>
      </c>
      <c r="D40" s="3">
        <v>10</v>
      </c>
      <c r="E40" s="3">
        <v>0</v>
      </c>
      <c r="F40" s="3">
        <v>10.28</v>
      </c>
      <c r="G40" s="3">
        <v>12.5</v>
      </c>
      <c r="H40" s="3">
        <v>247.43646901471249</v>
      </c>
      <c r="I40" s="3">
        <v>9752.5635309852878</v>
      </c>
      <c r="J40" s="3" t="s">
        <v>506</v>
      </c>
    </row>
    <row r="41" spans="1:10">
      <c r="A41" s="3" t="s">
        <v>339</v>
      </c>
      <c r="B41" s="3" t="s">
        <v>42</v>
      </c>
      <c r="C41" s="4" t="s">
        <v>291</v>
      </c>
      <c r="D41" s="3">
        <v>10</v>
      </c>
      <c r="E41" s="3">
        <v>0</v>
      </c>
      <c r="F41" s="3">
        <v>1.19</v>
      </c>
      <c r="G41" s="3">
        <v>12.5</v>
      </c>
      <c r="H41" s="3">
        <v>1144.6209897783624</v>
      </c>
      <c r="I41" s="3">
        <v>8855.3790102216371</v>
      </c>
      <c r="J41" s="3" t="s">
        <v>506</v>
      </c>
    </row>
    <row r="42" spans="1:10">
      <c r="A42" s="3" t="s">
        <v>347</v>
      </c>
      <c r="B42" s="3" t="s">
        <v>42</v>
      </c>
      <c r="C42" s="4" t="s">
        <v>328</v>
      </c>
      <c r="D42" s="3">
        <v>10</v>
      </c>
      <c r="E42" s="3">
        <v>0</v>
      </c>
      <c r="F42" s="3">
        <v>1.52</v>
      </c>
      <c r="G42" s="3">
        <v>12.5</v>
      </c>
      <c r="H42" s="3">
        <v>1114.9471974004873</v>
      </c>
      <c r="I42" s="3">
        <v>8885.0528025995118</v>
      </c>
      <c r="J42" s="3" t="s">
        <v>506</v>
      </c>
    </row>
    <row r="43" spans="1:10">
      <c r="A43" s="3" t="s">
        <v>348</v>
      </c>
      <c r="B43" s="3" t="s">
        <v>42</v>
      </c>
      <c r="C43" s="4">
        <v>46157.416666666664</v>
      </c>
      <c r="D43" s="3">
        <v>10</v>
      </c>
      <c r="E43" s="3">
        <v>0</v>
      </c>
      <c r="F43" s="3">
        <v>2.2200000000000002</v>
      </c>
      <c r="G43" s="3">
        <v>12.5</v>
      </c>
      <c r="H43" s="3">
        <v>1051.3397422785847</v>
      </c>
      <c r="I43" s="3">
        <v>8948.6602577214144</v>
      </c>
      <c r="J43" s="3" t="s">
        <v>506</v>
      </c>
    </row>
    <row r="44" spans="1:10">
      <c r="A44" s="3" t="s">
        <v>354</v>
      </c>
      <c r="B44" s="3" t="s">
        <v>42</v>
      </c>
      <c r="C44" s="4">
        <v>46161.416666666664</v>
      </c>
      <c r="D44" s="3">
        <v>10</v>
      </c>
      <c r="E44" s="3">
        <v>0</v>
      </c>
      <c r="F44" s="3">
        <v>10.27</v>
      </c>
      <c r="G44" s="3">
        <v>12.5</v>
      </c>
      <c r="H44" s="3">
        <v>248.5233478212416</v>
      </c>
      <c r="I44" s="3">
        <v>9751.4766521787587</v>
      </c>
      <c r="J44" s="3" t="s">
        <v>506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"/>
  <sheetViews>
    <sheetView workbookViewId="0"/>
  </sheetViews>
  <sheetFormatPr baseColWidth="10" defaultColWidth="9" defaultRowHeight="14.25"/>
  <cols>
    <col min="1" max="1" width="18" customWidth="1"/>
    <col min="2" max="5" width="13" customWidth="1"/>
    <col min="6" max="6" width="18" customWidth="1"/>
    <col min="7" max="10" width="13" customWidth="1"/>
    <col min="11" max="11" width="32" customWidth="1"/>
    <col min="12" max="12" width="13" customWidth="1"/>
    <col min="13" max="13" width="18" customWidth="1"/>
    <col min="14" max="14" width="13" customWidth="1"/>
    <col min="15" max="15" width="32" customWidth="1"/>
  </cols>
  <sheetData>
    <row r="1" spans="1:15" ht="32.1" customHeight="1">
      <c r="A1" s="1" t="s">
        <v>522</v>
      </c>
      <c r="B1" s="1" t="s">
        <v>523</v>
      </c>
      <c r="C1" s="1" t="s">
        <v>367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503</v>
      </c>
      <c r="L1" s="1" t="s">
        <v>531</v>
      </c>
      <c r="M1" s="1" t="s">
        <v>504</v>
      </c>
      <c r="N1" s="1" t="s">
        <v>532</v>
      </c>
      <c r="O1" s="1" t="s">
        <v>376</v>
      </c>
    </row>
    <row r="2" spans="1:15">
      <c r="A2" s="3" t="s">
        <v>533</v>
      </c>
      <c r="B2" s="3" t="s">
        <v>316</v>
      </c>
      <c r="C2" s="4">
        <v>46162.416666666664</v>
      </c>
      <c r="D2" s="3"/>
      <c r="E2" s="3"/>
      <c r="F2" s="3">
        <v>1000</v>
      </c>
      <c r="G2" s="3"/>
      <c r="H2" s="3"/>
      <c r="I2" s="3">
        <v>50000</v>
      </c>
      <c r="J2" s="3">
        <v>1000</v>
      </c>
      <c r="K2" s="3">
        <v>12.5</v>
      </c>
      <c r="L2" s="3">
        <v>50</v>
      </c>
      <c r="M2" s="3">
        <v>6250</v>
      </c>
      <c r="N2" s="3">
        <v>43700</v>
      </c>
      <c r="O2" s="3" t="s">
        <v>534</v>
      </c>
    </row>
    <row r="3" spans="1:15">
      <c r="A3" s="3" t="s">
        <v>535</v>
      </c>
      <c r="B3" s="3" t="s">
        <v>486</v>
      </c>
      <c r="C3" s="4">
        <v>46161.416666666664</v>
      </c>
      <c r="D3" s="3"/>
      <c r="E3" s="3"/>
      <c r="F3" s="3">
        <v>1000</v>
      </c>
      <c r="G3" s="3"/>
      <c r="H3" s="3"/>
      <c r="I3" s="3">
        <v>50000</v>
      </c>
      <c r="J3" s="3">
        <v>1000</v>
      </c>
      <c r="K3" s="3">
        <v>12.5</v>
      </c>
      <c r="L3" s="3">
        <v>50</v>
      </c>
      <c r="M3" s="3">
        <v>6250</v>
      </c>
      <c r="N3" s="3">
        <v>43700</v>
      </c>
      <c r="O3" s="3" t="s">
        <v>534</v>
      </c>
    </row>
    <row r="4" spans="1:15">
      <c r="A4" s="3" t="s">
        <v>536</v>
      </c>
      <c r="B4" s="3" t="s">
        <v>494</v>
      </c>
      <c r="C4" s="4">
        <v>46161.416666666664</v>
      </c>
      <c r="D4" s="3"/>
      <c r="E4" s="3"/>
      <c r="F4" s="3">
        <v>1000</v>
      </c>
      <c r="G4" s="3"/>
      <c r="H4" s="3"/>
      <c r="I4" s="3">
        <v>50000</v>
      </c>
      <c r="J4" s="3">
        <v>1000</v>
      </c>
      <c r="K4" s="3">
        <v>12.5</v>
      </c>
      <c r="L4" s="3">
        <v>50</v>
      </c>
      <c r="M4" s="3">
        <v>6250</v>
      </c>
      <c r="N4" s="3">
        <v>43700</v>
      </c>
      <c r="O4" s="3" t="s">
        <v>534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9"/>
  <sheetViews>
    <sheetView workbookViewId="0"/>
  </sheetViews>
  <sheetFormatPr baseColWidth="10" defaultColWidth="9" defaultRowHeight="14.25"/>
  <cols>
    <col min="1" max="1" width="13" customWidth="1"/>
    <col min="2" max="2" width="32" customWidth="1"/>
    <col min="3" max="3" width="13" customWidth="1"/>
  </cols>
  <sheetData>
    <row r="1" spans="1:3" ht="32.1" customHeight="1">
      <c r="A1" s="1" t="s">
        <v>537</v>
      </c>
      <c r="B1" s="1" t="s">
        <v>538</v>
      </c>
      <c r="C1" s="1" t="s">
        <v>539</v>
      </c>
    </row>
    <row r="2" spans="1:3">
      <c r="A2" s="3" t="s">
        <v>43</v>
      </c>
      <c r="B2" s="3" t="s">
        <v>540</v>
      </c>
      <c r="C2" s="3" t="s">
        <v>541</v>
      </c>
    </row>
    <row r="3" spans="1:3">
      <c r="A3" s="3" t="s">
        <v>44</v>
      </c>
      <c r="B3" s="3" t="s">
        <v>542</v>
      </c>
      <c r="C3" s="3" t="s">
        <v>543</v>
      </c>
    </row>
    <row r="4" spans="1:3">
      <c r="A4" s="3" t="s">
        <v>45</v>
      </c>
      <c r="B4" s="3" t="s">
        <v>544</v>
      </c>
      <c r="C4" s="3" t="s">
        <v>545</v>
      </c>
    </row>
    <row r="5" spans="1:3">
      <c r="A5" s="3" t="s">
        <v>46</v>
      </c>
      <c r="B5" s="3" t="s">
        <v>546</v>
      </c>
      <c r="C5" s="3" t="s">
        <v>547</v>
      </c>
    </row>
    <row r="6" spans="1:3">
      <c r="A6" s="3" t="s">
        <v>47</v>
      </c>
      <c r="B6" s="3" t="s">
        <v>548</v>
      </c>
      <c r="C6" s="3" t="s">
        <v>549</v>
      </c>
    </row>
    <row r="7" spans="1:3">
      <c r="A7" s="3" t="s">
        <v>48</v>
      </c>
      <c r="B7" s="3" t="s">
        <v>550</v>
      </c>
      <c r="C7" s="3" t="s">
        <v>549</v>
      </c>
    </row>
    <row r="8" spans="1:3">
      <c r="A8" s="3" t="s">
        <v>49</v>
      </c>
      <c r="B8" s="3" t="s">
        <v>551</v>
      </c>
      <c r="C8" s="3" t="s">
        <v>552</v>
      </c>
    </row>
    <row r="9" spans="1:3">
      <c r="A9" s="3" t="s">
        <v>50</v>
      </c>
      <c r="B9" s="3" t="s">
        <v>553</v>
      </c>
      <c r="C9" s="3" t="s">
        <v>549</v>
      </c>
    </row>
    <row r="10" spans="1:3">
      <c r="A10" s="3" t="s">
        <v>51</v>
      </c>
      <c r="B10" s="3" t="s">
        <v>554</v>
      </c>
      <c r="C10" s="3" t="s">
        <v>549</v>
      </c>
    </row>
    <row r="11" spans="1:3">
      <c r="A11" s="3" t="s">
        <v>52</v>
      </c>
      <c r="B11" s="3" t="s">
        <v>555</v>
      </c>
      <c r="C11" s="3" t="s">
        <v>549</v>
      </c>
    </row>
    <row r="12" spans="1:3">
      <c r="A12" s="3" t="s">
        <v>53</v>
      </c>
      <c r="B12" s="3" t="s">
        <v>556</v>
      </c>
      <c r="C12" s="3" t="s">
        <v>549</v>
      </c>
    </row>
    <row r="13" spans="1:3">
      <c r="A13" s="3" t="s">
        <v>17</v>
      </c>
      <c r="B13" s="3" t="s">
        <v>557</v>
      </c>
      <c r="C13" s="3" t="s">
        <v>558</v>
      </c>
    </row>
    <row r="14" spans="1:3">
      <c r="A14" s="3" t="s">
        <v>54</v>
      </c>
      <c r="B14" s="3" t="s">
        <v>559</v>
      </c>
      <c r="C14" s="3" t="s">
        <v>549</v>
      </c>
    </row>
    <row r="15" spans="1:3">
      <c r="A15" s="3" t="s">
        <v>55</v>
      </c>
      <c r="B15" s="3" t="s">
        <v>560</v>
      </c>
      <c r="C15" s="3" t="s">
        <v>549</v>
      </c>
    </row>
    <row r="16" spans="1:3">
      <c r="A16" s="3" t="s">
        <v>57</v>
      </c>
      <c r="B16" s="3" t="s">
        <v>561</v>
      </c>
      <c r="C16" s="3" t="s">
        <v>549</v>
      </c>
    </row>
    <row r="17" spans="1:3">
      <c r="A17" s="3" t="s">
        <v>58</v>
      </c>
      <c r="B17" s="3" t="s">
        <v>562</v>
      </c>
      <c r="C17" s="3" t="s">
        <v>563</v>
      </c>
    </row>
    <row r="18" spans="1:3">
      <c r="A18" s="3" t="s">
        <v>59</v>
      </c>
      <c r="B18" s="3" t="s">
        <v>564</v>
      </c>
      <c r="C18" s="3" t="s">
        <v>565</v>
      </c>
    </row>
    <row r="19" spans="1:3">
      <c r="A19" s="3" t="s">
        <v>566</v>
      </c>
      <c r="B19" s="3" t="s">
        <v>567</v>
      </c>
      <c r="C19" s="3" t="s">
        <v>568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5"/>
  <sheetViews>
    <sheetView workbookViewId="0"/>
  </sheetViews>
  <sheetFormatPr baseColWidth="10" defaultColWidth="9" defaultRowHeight="14.25"/>
  <cols>
    <col min="1" max="6" width="13" customWidth="1"/>
    <col min="7" max="7" width="18" customWidth="1"/>
    <col min="8" max="9" width="13" customWidth="1"/>
    <col min="10" max="10" width="18" customWidth="1"/>
    <col min="11" max="18" width="13" customWidth="1"/>
    <col min="19" max="20" width="18" customWidth="1"/>
    <col min="21" max="21" width="13" customWidth="1"/>
    <col min="22" max="22" width="32" customWidth="1"/>
    <col min="23" max="24" width="18" customWidth="1"/>
    <col min="25" max="25" width="13" customWidth="1"/>
    <col min="26" max="26" width="32" customWidth="1"/>
  </cols>
  <sheetData>
    <row r="1" spans="1:26" ht="32.1" customHeight="1">
      <c r="A1" s="1" t="s">
        <v>434</v>
      </c>
      <c r="B1" s="1" t="s">
        <v>367</v>
      </c>
      <c r="C1" s="1" t="s">
        <v>569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570</v>
      </c>
      <c r="I1" s="1" t="s">
        <v>81</v>
      </c>
      <c r="J1" s="1" t="s">
        <v>82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575</v>
      </c>
      <c r="P1" s="1" t="s">
        <v>83</v>
      </c>
      <c r="Q1" s="1" t="s">
        <v>576</v>
      </c>
      <c r="R1" s="1" t="s">
        <v>577</v>
      </c>
      <c r="S1" s="1" t="s">
        <v>84</v>
      </c>
      <c r="T1" s="1" t="s">
        <v>85</v>
      </c>
      <c r="U1" s="1" t="s">
        <v>496</v>
      </c>
      <c r="V1" s="1" t="s">
        <v>376</v>
      </c>
      <c r="W1" s="1" t="s">
        <v>377</v>
      </c>
      <c r="X1" s="1" t="s">
        <v>378</v>
      </c>
      <c r="Y1" s="1" t="s">
        <v>356</v>
      </c>
      <c r="Z1" s="1" t="s">
        <v>69</v>
      </c>
    </row>
    <row r="2" spans="1:26">
      <c r="A2" s="3" t="s">
        <v>118</v>
      </c>
      <c r="B2" s="4">
        <v>46177.541666666664</v>
      </c>
      <c r="C2" s="3">
        <v>1067.7</v>
      </c>
      <c r="D2" s="3">
        <v>16.899999999999999</v>
      </c>
      <c r="E2" s="3"/>
      <c r="F2" s="3"/>
      <c r="G2" s="3">
        <v>13.44</v>
      </c>
      <c r="H2" s="3">
        <v>13.13</v>
      </c>
      <c r="I2" s="3">
        <v>10.86</v>
      </c>
      <c r="J2" s="3">
        <v>145.85</v>
      </c>
      <c r="K2" s="3">
        <v>75.040000000000006</v>
      </c>
      <c r="L2" s="3">
        <v>70.809999999999988</v>
      </c>
      <c r="M2" s="3">
        <v>93</v>
      </c>
      <c r="N2" s="3">
        <v>168</v>
      </c>
      <c r="O2" s="3">
        <v>0.99</v>
      </c>
      <c r="P2" s="3"/>
      <c r="Q2" s="3">
        <v>17</v>
      </c>
      <c r="R2" s="3">
        <v>55</v>
      </c>
      <c r="S2" s="3">
        <v>1.53</v>
      </c>
      <c r="T2" s="3">
        <v>1.23</v>
      </c>
      <c r="U2" s="3"/>
      <c r="V2" s="3"/>
      <c r="W2" s="3" t="s">
        <v>28</v>
      </c>
      <c r="X2" s="4">
        <v>46118.541666666664</v>
      </c>
      <c r="Y2" s="5">
        <v>0</v>
      </c>
      <c r="Z2" s="3" t="s">
        <v>120</v>
      </c>
    </row>
    <row r="3" spans="1:26">
      <c r="A3" s="3" t="s">
        <v>144</v>
      </c>
      <c r="B3" s="4">
        <v>46207.333333333336</v>
      </c>
      <c r="C3" s="3">
        <v>1064.3</v>
      </c>
      <c r="D3" s="3">
        <v>16.2</v>
      </c>
      <c r="E3" s="3"/>
      <c r="F3" s="3"/>
      <c r="G3" s="3">
        <v>28.53</v>
      </c>
      <c r="H3" s="3">
        <v>28.07</v>
      </c>
      <c r="I3" s="3">
        <v>29.34</v>
      </c>
      <c r="J3" s="3">
        <v>145.71</v>
      </c>
      <c r="K3" s="3">
        <v>70.28</v>
      </c>
      <c r="L3" s="3">
        <v>75.430000000000007</v>
      </c>
      <c r="M3" s="3">
        <v>63</v>
      </c>
      <c r="N3" s="3">
        <v>146</v>
      </c>
      <c r="O3" s="3">
        <v>1.2</v>
      </c>
      <c r="P3" s="3"/>
      <c r="Q3" s="3">
        <v>19</v>
      </c>
      <c r="R3" s="3">
        <v>109</v>
      </c>
      <c r="S3" s="3"/>
      <c r="T3" s="3">
        <v>-0.3</v>
      </c>
      <c r="U3" s="3"/>
      <c r="V3" s="3"/>
      <c r="W3" s="3" t="s">
        <v>28</v>
      </c>
      <c r="X3" s="4">
        <v>46119.333333333336</v>
      </c>
      <c r="Y3" s="5">
        <v>19</v>
      </c>
      <c r="Z3" s="3" t="s">
        <v>145</v>
      </c>
    </row>
    <row r="4" spans="1:26">
      <c r="A4" s="3" t="s">
        <v>150</v>
      </c>
      <c r="B4" s="4">
        <v>46207.625</v>
      </c>
      <c r="C4" s="3">
        <v>1061.0999999999999</v>
      </c>
      <c r="D4" s="3">
        <v>15.6</v>
      </c>
      <c r="E4" s="3"/>
      <c r="F4" s="3"/>
      <c r="G4" s="3">
        <v>25.73</v>
      </c>
      <c r="H4" s="3">
        <v>25.69</v>
      </c>
      <c r="I4" s="3">
        <v>27.76</v>
      </c>
      <c r="J4" s="3">
        <v>138.85</v>
      </c>
      <c r="K4" s="3">
        <v>68.27</v>
      </c>
      <c r="L4" s="3">
        <v>70.58</v>
      </c>
      <c r="M4" s="3">
        <v>50</v>
      </c>
      <c r="N4" s="3">
        <v>131</v>
      </c>
      <c r="O4" s="3">
        <v>1.28</v>
      </c>
      <c r="P4" s="3"/>
      <c r="Q4" s="3">
        <v>33</v>
      </c>
      <c r="R4" s="3">
        <v>107</v>
      </c>
      <c r="S4" s="3"/>
      <c r="T4" s="3">
        <v>-0.3</v>
      </c>
      <c r="U4" s="3"/>
      <c r="V4" s="3"/>
      <c r="W4" s="3" t="s">
        <v>28</v>
      </c>
      <c r="X4" s="4">
        <v>46119.625</v>
      </c>
      <c r="Y4" s="5">
        <v>26</v>
      </c>
      <c r="Z4" s="3" t="s">
        <v>151</v>
      </c>
    </row>
    <row r="5" spans="1:26">
      <c r="A5" s="3" t="s">
        <v>153</v>
      </c>
      <c r="B5" s="4">
        <v>46238.333333333336</v>
      </c>
      <c r="C5" s="3">
        <v>1050.7</v>
      </c>
      <c r="D5" s="3">
        <v>13</v>
      </c>
      <c r="E5" s="3"/>
      <c r="F5" s="3"/>
      <c r="G5" s="3">
        <v>35.71</v>
      </c>
      <c r="H5" s="3">
        <v>34.8</v>
      </c>
      <c r="I5" s="3">
        <v>17.2</v>
      </c>
      <c r="J5" s="3">
        <v>117.71</v>
      </c>
      <c r="K5" s="3">
        <v>52.25</v>
      </c>
      <c r="L5" s="3">
        <v>65.459999999999994</v>
      </c>
      <c r="M5" s="3">
        <v>29</v>
      </c>
      <c r="N5" s="3">
        <v>38</v>
      </c>
      <c r="O5" s="3">
        <v>2.9</v>
      </c>
      <c r="P5" s="3"/>
      <c r="Q5" s="3">
        <v>58</v>
      </c>
      <c r="R5" s="3">
        <v>120</v>
      </c>
      <c r="S5" s="3"/>
      <c r="T5" s="3">
        <v>-0.3</v>
      </c>
      <c r="U5" s="3"/>
      <c r="V5" s="3"/>
      <c r="W5" s="3" t="s">
        <v>28</v>
      </c>
      <c r="X5" s="4">
        <v>46120.333333333336</v>
      </c>
      <c r="Y5" s="5">
        <v>43</v>
      </c>
      <c r="Z5" s="3" t="s">
        <v>154</v>
      </c>
    </row>
    <row r="6" spans="1:26">
      <c r="A6" s="3" t="s">
        <v>156</v>
      </c>
      <c r="B6" s="4">
        <v>46238.625</v>
      </c>
      <c r="C6" s="3">
        <v>1044.3</v>
      </c>
      <c r="D6" s="3">
        <v>11.6</v>
      </c>
      <c r="E6" s="3"/>
      <c r="F6" s="3"/>
      <c r="G6" s="3">
        <v>59.52</v>
      </c>
      <c r="H6" s="3">
        <v>58.83</v>
      </c>
      <c r="I6" s="3">
        <v>25.68</v>
      </c>
      <c r="J6" s="3">
        <v>104.74</v>
      </c>
      <c r="K6" s="3">
        <v>45.2</v>
      </c>
      <c r="L6" s="3">
        <v>59.539999999999992</v>
      </c>
      <c r="M6" s="3">
        <v>19</v>
      </c>
      <c r="N6" s="3">
        <v>0</v>
      </c>
      <c r="O6" s="3">
        <v>3.58</v>
      </c>
      <c r="P6" s="3"/>
      <c r="Q6" s="3">
        <v>52</v>
      </c>
      <c r="R6" s="3">
        <v>138</v>
      </c>
      <c r="S6" s="3">
        <v>4.17</v>
      </c>
      <c r="T6" s="3">
        <v>3.87</v>
      </c>
      <c r="U6" s="3"/>
      <c r="V6" s="3"/>
      <c r="W6" s="3" t="s">
        <v>28</v>
      </c>
      <c r="X6" s="4">
        <v>46120.625</v>
      </c>
      <c r="Y6" s="5">
        <v>50</v>
      </c>
      <c r="Z6" s="3" t="s">
        <v>157</v>
      </c>
    </row>
    <row r="7" spans="1:26">
      <c r="A7" s="3" t="s">
        <v>160</v>
      </c>
      <c r="B7" s="4">
        <v>46269.333333333336</v>
      </c>
      <c r="C7" s="3">
        <v>1032.3</v>
      </c>
      <c r="D7" s="3">
        <v>8.5</v>
      </c>
      <c r="E7" s="3"/>
      <c r="F7" s="3"/>
      <c r="G7" s="3">
        <v>57.91</v>
      </c>
      <c r="H7" s="3">
        <v>57.76</v>
      </c>
      <c r="I7" s="3">
        <v>22.81</v>
      </c>
      <c r="J7" s="3">
        <v>75.03</v>
      </c>
      <c r="K7" s="3">
        <v>26.84</v>
      </c>
      <c r="L7" s="3">
        <v>48.19</v>
      </c>
      <c r="M7" s="3">
        <v>5</v>
      </c>
      <c r="N7" s="3">
        <v>0</v>
      </c>
      <c r="O7" s="3">
        <v>4.47</v>
      </c>
      <c r="P7" s="3"/>
      <c r="Q7" s="3">
        <v>35</v>
      </c>
      <c r="R7" s="3">
        <v>126</v>
      </c>
      <c r="S7" s="3"/>
      <c r="T7" s="3">
        <v>-0.3</v>
      </c>
      <c r="U7" s="3"/>
      <c r="V7" s="3"/>
      <c r="W7" s="3" t="s">
        <v>28</v>
      </c>
      <c r="X7" s="4">
        <v>46121.333333333336</v>
      </c>
      <c r="Y7" s="5">
        <v>67</v>
      </c>
      <c r="Z7" s="3" t="s">
        <v>161</v>
      </c>
    </row>
    <row r="8" spans="1:26">
      <c r="A8" s="3" t="s">
        <v>165</v>
      </c>
      <c r="B8" s="4">
        <v>46269.625</v>
      </c>
      <c r="C8" s="3">
        <v>1022.5</v>
      </c>
      <c r="D8" s="3">
        <v>6.1</v>
      </c>
      <c r="E8" s="3"/>
      <c r="F8" s="3"/>
      <c r="G8" s="3">
        <v>56.37</v>
      </c>
      <c r="H8" s="3">
        <v>56.3</v>
      </c>
      <c r="I8" s="3">
        <v>23.02</v>
      </c>
      <c r="J8" s="3">
        <v>57.45</v>
      </c>
      <c r="K8" s="3">
        <v>18.850000000000001</v>
      </c>
      <c r="L8" s="3">
        <v>38.6</v>
      </c>
      <c r="M8" s="3">
        <v>17</v>
      </c>
      <c r="N8" s="3">
        <v>23</v>
      </c>
      <c r="O8" s="3">
        <v>4.43</v>
      </c>
      <c r="P8" s="3"/>
      <c r="Q8" s="3">
        <v>37</v>
      </c>
      <c r="R8" s="3">
        <v>127</v>
      </c>
      <c r="S8" s="3"/>
      <c r="T8" s="3">
        <v>-0.3</v>
      </c>
      <c r="U8" s="3"/>
      <c r="V8" s="3"/>
      <c r="W8" s="3" t="s">
        <v>28</v>
      </c>
      <c r="X8" s="4">
        <v>46121.625</v>
      </c>
      <c r="Y8" s="5">
        <v>74</v>
      </c>
      <c r="Z8" s="3" t="s">
        <v>166</v>
      </c>
    </row>
    <row r="9" spans="1:26">
      <c r="A9" s="3" t="s">
        <v>168</v>
      </c>
      <c r="B9" s="4">
        <v>46299.333333333336</v>
      </c>
      <c r="C9" s="3">
        <v>1014.3</v>
      </c>
      <c r="D9" s="3">
        <v>4.0999999999999996</v>
      </c>
      <c r="E9" s="3"/>
      <c r="F9" s="3"/>
      <c r="G9" s="3">
        <v>65.819999999999993</v>
      </c>
      <c r="H9" s="3">
        <v>65.209999999999994</v>
      </c>
      <c r="I9" s="3">
        <v>17.04</v>
      </c>
      <c r="J9" s="3">
        <v>36.659999999999997</v>
      </c>
      <c r="K9" s="3">
        <v>8.7200000000000006</v>
      </c>
      <c r="L9" s="3">
        <v>27.939999999999998</v>
      </c>
      <c r="M9" s="3">
        <v>9</v>
      </c>
      <c r="N9" s="3">
        <v>0</v>
      </c>
      <c r="O9" s="3">
        <v>5.7</v>
      </c>
      <c r="P9" s="3"/>
      <c r="Q9" s="3">
        <v>30</v>
      </c>
      <c r="R9" s="3">
        <v>128</v>
      </c>
      <c r="S9" s="3">
        <v>8.3699999999999992</v>
      </c>
      <c r="T9" s="3">
        <v>8.0699999999999985</v>
      </c>
      <c r="U9" s="3"/>
      <c r="V9" s="3"/>
      <c r="W9" s="3" t="s">
        <v>28</v>
      </c>
      <c r="X9" s="4">
        <v>46122.333333333336</v>
      </c>
      <c r="Y9" s="5">
        <v>91</v>
      </c>
      <c r="Z9" s="3" t="s">
        <v>169</v>
      </c>
    </row>
    <row r="10" spans="1:26">
      <c r="A10" s="3" t="s">
        <v>171</v>
      </c>
      <c r="B10" s="4">
        <v>46299.625</v>
      </c>
      <c r="C10" s="3">
        <v>1009.3</v>
      </c>
      <c r="D10" s="3">
        <v>2.9</v>
      </c>
      <c r="E10" s="3"/>
      <c r="F10" s="3"/>
      <c r="G10" s="3">
        <v>69.510000000000005</v>
      </c>
      <c r="H10" s="3">
        <v>68.05</v>
      </c>
      <c r="I10" s="3">
        <v>9.61</v>
      </c>
      <c r="J10" s="3">
        <v>28.3</v>
      </c>
      <c r="K10" s="3">
        <v>5.28</v>
      </c>
      <c r="L10" s="3">
        <v>23.02</v>
      </c>
      <c r="M10" s="3">
        <v>7</v>
      </c>
      <c r="N10" s="3">
        <v>0</v>
      </c>
      <c r="O10" s="3">
        <v>5.68</v>
      </c>
      <c r="P10" s="3"/>
      <c r="Q10" s="3">
        <v>32</v>
      </c>
      <c r="R10" s="3">
        <v>112</v>
      </c>
      <c r="S10" s="3"/>
      <c r="T10" s="3">
        <v>-0.3</v>
      </c>
      <c r="U10" s="3"/>
      <c r="V10" s="3"/>
      <c r="W10" s="3" t="s">
        <v>28</v>
      </c>
      <c r="X10" s="4">
        <v>46122.625</v>
      </c>
      <c r="Y10" s="5">
        <v>98</v>
      </c>
      <c r="Z10" s="3" t="s">
        <v>172</v>
      </c>
    </row>
    <row r="11" spans="1:26">
      <c r="A11" s="3" t="s">
        <v>174</v>
      </c>
      <c r="B11" s="4">
        <v>46330.333333333336</v>
      </c>
      <c r="C11" s="3">
        <v>998.8</v>
      </c>
      <c r="D11" s="3">
        <v>0.3</v>
      </c>
      <c r="E11" s="3"/>
      <c r="F11" s="3"/>
      <c r="G11" s="3"/>
      <c r="H11" s="3"/>
      <c r="I11" s="3"/>
      <c r="J11" s="3">
        <v>6.65</v>
      </c>
      <c r="K11" s="3">
        <v>0.46</v>
      </c>
      <c r="L11" s="3">
        <v>6.19</v>
      </c>
      <c r="M11" s="3">
        <v>43</v>
      </c>
      <c r="N11" s="3">
        <v>0</v>
      </c>
      <c r="O11" s="3">
        <v>6.62</v>
      </c>
      <c r="P11" s="3"/>
      <c r="Q11" s="3">
        <v>23</v>
      </c>
      <c r="R11" s="3">
        <v>104</v>
      </c>
      <c r="S11" s="3"/>
      <c r="T11" s="3">
        <v>-0.3</v>
      </c>
      <c r="U11" s="3"/>
      <c r="V11" s="3"/>
      <c r="W11" s="3" t="s">
        <v>28</v>
      </c>
      <c r="X11" s="4">
        <v>46123.333333333336</v>
      </c>
      <c r="Y11" s="5">
        <v>115</v>
      </c>
      <c r="Z11" s="3" t="s">
        <v>175</v>
      </c>
    </row>
    <row r="12" spans="1:26">
      <c r="A12" s="3" t="s">
        <v>179</v>
      </c>
      <c r="B12" s="4">
        <v>46330.625</v>
      </c>
      <c r="C12" s="3">
        <v>994.4</v>
      </c>
      <c r="D12" s="3">
        <v>-0.9</v>
      </c>
      <c r="E12" s="3"/>
      <c r="F12" s="3"/>
      <c r="G12" s="3">
        <v>70.12</v>
      </c>
      <c r="H12" s="3">
        <v>68.05</v>
      </c>
      <c r="I12" s="3">
        <v>8.8699999999999992</v>
      </c>
      <c r="J12" s="3">
        <v>3.69</v>
      </c>
      <c r="K12" s="3">
        <v>0.15</v>
      </c>
      <c r="L12" s="3">
        <v>3.54</v>
      </c>
      <c r="M12" s="3">
        <v>11</v>
      </c>
      <c r="N12" s="3">
        <v>0</v>
      </c>
      <c r="O12" s="3">
        <v>6.4</v>
      </c>
      <c r="P12" s="3"/>
      <c r="Q12" s="3">
        <v>21</v>
      </c>
      <c r="R12" s="3">
        <v>107</v>
      </c>
      <c r="S12" s="3"/>
      <c r="T12" s="3">
        <v>-0.3</v>
      </c>
      <c r="U12" s="3"/>
      <c r="V12" s="3"/>
      <c r="W12" s="3" t="s">
        <v>28</v>
      </c>
      <c r="X12" s="4">
        <v>46123.625</v>
      </c>
      <c r="Y12" s="5">
        <v>122</v>
      </c>
      <c r="Z12" s="3" t="s">
        <v>180</v>
      </c>
    </row>
    <row r="13" spans="1:26">
      <c r="A13" s="3" t="s">
        <v>182</v>
      </c>
      <c r="B13" s="4">
        <v>46360.625</v>
      </c>
      <c r="C13" s="3">
        <v>994.9</v>
      </c>
      <c r="D13" s="3">
        <v>22.6</v>
      </c>
      <c r="E13" s="3"/>
      <c r="F13" s="3"/>
      <c r="G13" s="3"/>
      <c r="H13" s="3"/>
      <c r="I13" s="3"/>
      <c r="J13" s="3">
        <v>0.15</v>
      </c>
      <c r="K13" s="3">
        <v>0.04</v>
      </c>
      <c r="L13" s="3">
        <v>0.10999999999999999</v>
      </c>
      <c r="M13" s="3">
        <v>25</v>
      </c>
      <c r="N13" s="3">
        <v>0</v>
      </c>
      <c r="O13" s="3">
        <v>6.15</v>
      </c>
      <c r="P13" s="3"/>
      <c r="Q13" s="3">
        <v>19</v>
      </c>
      <c r="R13" s="3">
        <v>106</v>
      </c>
      <c r="S13" s="3">
        <v>10.88</v>
      </c>
      <c r="T13" s="3">
        <v>10.58</v>
      </c>
      <c r="U13" s="3"/>
      <c r="V13" s="3"/>
      <c r="W13" s="3" t="s">
        <v>28</v>
      </c>
      <c r="X13" s="4">
        <v>46124.625</v>
      </c>
      <c r="Y13" s="5">
        <v>146</v>
      </c>
      <c r="Z13" s="3" t="s">
        <v>183</v>
      </c>
    </row>
    <row r="14" spans="1:26">
      <c r="A14" s="3" t="s">
        <v>185</v>
      </c>
      <c r="B14" s="4" t="s">
        <v>186</v>
      </c>
      <c r="C14" s="3">
        <v>994.9</v>
      </c>
      <c r="D14" s="3">
        <v>-0.8</v>
      </c>
      <c r="E14" s="3"/>
      <c r="F14" s="3"/>
      <c r="G14" s="3">
        <v>71.430000000000007</v>
      </c>
      <c r="H14" s="3">
        <v>70.89</v>
      </c>
      <c r="I14" s="3">
        <v>19.89</v>
      </c>
      <c r="J14" s="3">
        <v>0.06</v>
      </c>
      <c r="K14" s="3">
        <v>0</v>
      </c>
      <c r="L14" s="3">
        <v>0.06</v>
      </c>
      <c r="M14" s="3">
        <v>26</v>
      </c>
      <c r="N14" s="3">
        <v>3</v>
      </c>
      <c r="O14" s="3">
        <v>6.28</v>
      </c>
      <c r="P14" s="3"/>
      <c r="Q14" s="3">
        <v>22</v>
      </c>
      <c r="R14" s="3">
        <v>93</v>
      </c>
      <c r="S14" s="3">
        <v>10.74</v>
      </c>
      <c r="T14" s="3">
        <v>10.44</v>
      </c>
      <c r="U14" s="3"/>
      <c r="V14" s="3"/>
      <c r="W14" s="3" t="s">
        <v>28</v>
      </c>
      <c r="X14" s="4">
        <v>46125.333333333336</v>
      </c>
      <c r="Y14" s="5">
        <v>163</v>
      </c>
      <c r="Z14" s="3" t="s">
        <v>187</v>
      </c>
    </row>
    <row r="15" spans="1:26">
      <c r="A15" s="3" t="s">
        <v>189</v>
      </c>
      <c r="B15" s="4">
        <v>46177.541666666664</v>
      </c>
      <c r="C15" s="3">
        <v>1066.7</v>
      </c>
      <c r="D15" s="3">
        <v>16.899999999999999</v>
      </c>
      <c r="E15" s="3"/>
      <c r="F15" s="3"/>
      <c r="G15" s="3">
        <v>16.97</v>
      </c>
      <c r="H15" s="3">
        <v>16.440000000000001</v>
      </c>
      <c r="I15" s="3">
        <v>25.34</v>
      </c>
      <c r="J15" s="3">
        <v>165.66</v>
      </c>
      <c r="K15" s="3">
        <v>77.709999999999994</v>
      </c>
      <c r="L15" s="3">
        <v>87.95</v>
      </c>
      <c r="M15" s="3">
        <v>92</v>
      </c>
      <c r="N15" s="3">
        <v>165</v>
      </c>
      <c r="O15" s="3">
        <v>1.0900000000000001</v>
      </c>
      <c r="P15" s="3"/>
      <c r="Q15" s="3">
        <v>6</v>
      </c>
      <c r="R15" s="3">
        <v>52</v>
      </c>
      <c r="S15" s="3">
        <v>1.54</v>
      </c>
      <c r="T15" s="3">
        <v>1.24</v>
      </c>
      <c r="U15" s="3"/>
      <c r="V15" s="3"/>
      <c r="W15" s="3" t="s">
        <v>31</v>
      </c>
      <c r="X15" s="4">
        <v>46118.541666666664</v>
      </c>
      <c r="Y15" s="5">
        <v>0</v>
      </c>
      <c r="Z15" s="3" t="s">
        <v>120</v>
      </c>
    </row>
    <row r="16" spans="1:26">
      <c r="A16" s="3" t="s">
        <v>194</v>
      </c>
      <c r="B16" s="4">
        <v>46207.333333333336</v>
      </c>
      <c r="C16" s="3">
        <v>1064.4000000000001</v>
      </c>
      <c r="D16" s="3">
        <v>16.3</v>
      </c>
      <c r="E16" s="3"/>
      <c r="F16" s="3"/>
      <c r="G16" s="3">
        <v>21.7</v>
      </c>
      <c r="H16" s="3">
        <v>21.54</v>
      </c>
      <c r="I16" s="3">
        <v>32.04</v>
      </c>
      <c r="J16" s="3">
        <v>142.71</v>
      </c>
      <c r="K16" s="3">
        <v>70.760000000000005</v>
      </c>
      <c r="L16" s="3">
        <v>71.95</v>
      </c>
      <c r="M16" s="3">
        <v>71</v>
      </c>
      <c r="N16" s="3">
        <v>147</v>
      </c>
      <c r="O16" s="3">
        <v>8.19</v>
      </c>
      <c r="P16" s="3"/>
      <c r="Q16" s="3">
        <v>22</v>
      </c>
      <c r="R16" s="3">
        <v>121</v>
      </c>
      <c r="S16" s="3"/>
      <c r="T16" s="3">
        <v>-0.3</v>
      </c>
      <c r="U16" s="3"/>
      <c r="V16" s="3"/>
      <c r="W16" s="3" t="s">
        <v>31</v>
      </c>
      <c r="X16" s="4">
        <v>46119.333333333336</v>
      </c>
      <c r="Y16" s="5">
        <v>19</v>
      </c>
      <c r="Z16" s="3" t="s">
        <v>145</v>
      </c>
    </row>
    <row r="17" spans="1:26">
      <c r="A17" s="3" t="s">
        <v>195</v>
      </c>
      <c r="B17" s="4">
        <v>46207.625</v>
      </c>
      <c r="C17" s="3">
        <v>1060.9000000000001</v>
      </c>
      <c r="D17" s="3">
        <v>15.6</v>
      </c>
      <c r="E17" s="3"/>
      <c r="F17" s="3"/>
      <c r="G17" s="3">
        <v>25.42</v>
      </c>
      <c r="H17" s="3">
        <v>25.35</v>
      </c>
      <c r="I17" s="3">
        <v>33.229999999999997</v>
      </c>
      <c r="J17" s="3">
        <v>138.31</v>
      </c>
      <c r="K17" s="3">
        <v>66.58</v>
      </c>
      <c r="L17" s="3">
        <v>71.73</v>
      </c>
      <c r="M17" s="3">
        <v>50</v>
      </c>
      <c r="N17" s="3">
        <v>132</v>
      </c>
      <c r="O17" s="3">
        <v>1.28</v>
      </c>
      <c r="P17" s="3"/>
      <c r="Q17" s="3">
        <v>41</v>
      </c>
      <c r="R17" s="3">
        <v>112</v>
      </c>
      <c r="S17" s="3"/>
      <c r="T17" s="3">
        <v>-0.3</v>
      </c>
      <c r="U17" s="3"/>
      <c r="V17" s="3"/>
      <c r="W17" s="3" t="s">
        <v>31</v>
      </c>
      <c r="X17" s="4">
        <v>46119.625</v>
      </c>
      <c r="Y17" s="5">
        <v>26</v>
      </c>
      <c r="Z17" s="3" t="s">
        <v>151</v>
      </c>
    </row>
    <row r="18" spans="1:26">
      <c r="A18" s="3" t="s">
        <v>196</v>
      </c>
      <c r="B18" s="4">
        <v>46238.333333333336</v>
      </c>
      <c r="C18" s="3">
        <v>1050.3</v>
      </c>
      <c r="D18" s="3">
        <v>12.9</v>
      </c>
      <c r="E18" s="3"/>
      <c r="F18" s="3"/>
      <c r="G18" s="3">
        <v>52.69</v>
      </c>
      <c r="H18" s="3">
        <v>51.92</v>
      </c>
      <c r="I18" s="3">
        <v>19.100000000000001</v>
      </c>
      <c r="J18" s="3">
        <v>111.41</v>
      </c>
      <c r="K18" s="3">
        <v>49.85</v>
      </c>
      <c r="L18" s="3">
        <v>61.559999999999995</v>
      </c>
      <c r="M18" s="3">
        <v>27</v>
      </c>
      <c r="N18" s="3">
        <v>32</v>
      </c>
      <c r="O18" s="3">
        <v>2.87</v>
      </c>
      <c r="P18" s="3"/>
      <c r="Q18" s="3">
        <v>53</v>
      </c>
      <c r="R18" s="3">
        <v>121</v>
      </c>
      <c r="S18" s="3"/>
      <c r="T18" s="3">
        <v>-0.3</v>
      </c>
      <c r="U18" s="3"/>
      <c r="V18" s="3"/>
      <c r="W18" s="3" t="s">
        <v>31</v>
      </c>
      <c r="X18" s="4">
        <v>46120.333333333336</v>
      </c>
      <c r="Y18" s="5">
        <v>43</v>
      </c>
      <c r="Z18" s="3" t="s">
        <v>154</v>
      </c>
    </row>
    <row r="19" spans="1:26">
      <c r="A19" s="3" t="s">
        <v>197</v>
      </c>
      <c r="B19" s="4">
        <v>46238.625</v>
      </c>
      <c r="C19" s="3">
        <v>1043.8</v>
      </c>
      <c r="D19" s="3">
        <v>11.5</v>
      </c>
      <c r="E19" s="3"/>
      <c r="F19" s="3"/>
      <c r="G19" s="3">
        <v>57.53</v>
      </c>
      <c r="H19" s="3">
        <v>57.22</v>
      </c>
      <c r="I19" s="3">
        <v>27.1</v>
      </c>
      <c r="J19" s="3">
        <v>104.59</v>
      </c>
      <c r="K19" s="3">
        <v>44.05</v>
      </c>
      <c r="L19" s="3">
        <v>60.540000000000006</v>
      </c>
      <c r="M19" s="3">
        <v>19</v>
      </c>
      <c r="N19" s="3">
        <v>0</v>
      </c>
      <c r="O19" s="3">
        <v>3.58</v>
      </c>
      <c r="P19" s="3"/>
      <c r="Q19" s="3">
        <v>45</v>
      </c>
      <c r="R19" s="3">
        <v>141</v>
      </c>
      <c r="S19" s="3">
        <v>4.26</v>
      </c>
      <c r="T19" s="3">
        <v>3.96</v>
      </c>
      <c r="U19" s="3"/>
      <c r="V19" s="3"/>
      <c r="W19" s="3" t="s">
        <v>31</v>
      </c>
      <c r="X19" s="4">
        <v>46120.625</v>
      </c>
      <c r="Y19" s="5">
        <v>50</v>
      </c>
      <c r="Z19" s="3" t="s">
        <v>157</v>
      </c>
    </row>
    <row r="20" spans="1:26">
      <c r="A20" s="3" t="s">
        <v>198</v>
      </c>
      <c r="B20" s="4">
        <v>46269.333333333336</v>
      </c>
      <c r="C20" s="3">
        <v>1031.0999999999999</v>
      </c>
      <c r="D20" s="3">
        <v>8.1999999999999993</v>
      </c>
      <c r="E20" s="3"/>
      <c r="F20" s="3"/>
      <c r="G20" s="3">
        <v>58.83</v>
      </c>
      <c r="H20" s="3">
        <v>58.76</v>
      </c>
      <c r="I20" s="3">
        <v>23.89</v>
      </c>
      <c r="J20" s="3">
        <v>73.88</v>
      </c>
      <c r="K20" s="3">
        <v>25.97</v>
      </c>
      <c r="L20" s="3">
        <v>47.91</v>
      </c>
      <c r="M20" s="3">
        <v>12</v>
      </c>
      <c r="N20" s="3">
        <v>0</v>
      </c>
      <c r="O20" s="3">
        <v>4.5</v>
      </c>
      <c r="P20" s="3"/>
      <c r="Q20" s="3">
        <v>31</v>
      </c>
      <c r="R20" s="3">
        <v>121</v>
      </c>
      <c r="S20" s="3"/>
      <c r="T20" s="3">
        <v>-0.3</v>
      </c>
      <c r="U20" s="3"/>
      <c r="V20" s="3"/>
      <c r="W20" s="3" t="s">
        <v>31</v>
      </c>
      <c r="X20" s="4">
        <v>46121.333333333336</v>
      </c>
      <c r="Y20" s="5">
        <v>67</v>
      </c>
      <c r="Z20" s="3" t="s">
        <v>161</v>
      </c>
    </row>
    <row r="21" spans="1:26">
      <c r="A21" s="3" t="s">
        <v>200</v>
      </c>
      <c r="B21" s="4">
        <v>46269.625</v>
      </c>
      <c r="C21" s="3">
        <v>1025.5</v>
      </c>
      <c r="D21" s="3">
        <v>7.1</v>
      </c>
      <c r="E21" s="3"/>
      <c r="F21" s="3"/>
      <c r="G21" s="3">
        <v>66.819999999999993</v>
      </c>
      <c r="H21" s="3">
        <v>66.59</v>
      </c>
      <c r="I21" s="3">
        <v>16.55</v>
      </c>
      <c r="J21" s="3">
        <v>63.58</v>
      </c>
      <c r="K21" s="3">
        <v>20.27</v>
      </c>
      <c r="L21" s="3">
        <v>43.31</v>
      </c>
      <c r="M21" s="3">
        <v>16</v>
      </c>
      <c r="N21" s="3">
        <v>24</v>
      </c>
      <c r="O21" s="3">
        <v>4.96</v>
      </c>
      <c r="P21" s="3"/>
      <c r="Q21" s="3">
        <v>33</v>
      </c>
      <c r="R21" s="3">
        <v>136</v>
      </c>
      <c r="S21" s="3"/>
      <c r="T21" s="3">
        <v>-0.3</v>
      </c>
      <c r="U21" s="3"/>
      <c r="V21" s="3"/>
      <c r="W21" s="3" t="s">
        <v>31</v>
      </c>
      <c r="X21" s="4">
        <v>46121.625</v>
      </c>
      <c r="Y21" s="5">
        <v>74</v>
      </c>
      <c r="Z21" s="3" t="s">
        <v>166</v>
      </c>
    </row>
    <row r="22" spans="1:26">
      <c r="A22" s="3" t="s">
        <v>201</v>
      </c>
      <c r="B22" s="4">
        <v>46299.333333333336</v>
      </c>
      <c r="C22" s="3">
        <v>1014.8</v>
      </c>
      <c r="D22" s="3">
        <v>4.2</v>
      </c>
      <c r="E22" s="3"/>
      <c r="F22" s="3"/>
      <c r="G22" s="3">
        <v>61.52</v>
      </c>
      <c r="H22" s="3">
        <v>61.21</v>
      </c>
      <c r="I22" s="3">
        <v>19.350000000000001</v>
      </c>
      <c r="J22" s="3">
        <v>38.619999999999997</v>
      </c>
      <c r="K22" s="3">
        <v>9.32</v>
      </c>
      <c r="L22" s="3">
        <v>29.299999999999997</v>
      </c>
      <c r="M22" s="3">
        <v>11</v>
      </c>
      <c r="N22" s="3">
        <v>0</v>
      </c>
      <c r="O22" s="3">
        <v>5.61</v>
      </c>
      <c r="P22" s="3"/>
      <c r="Q22" s="3">
        <v>30</v>
      </c>
      <c r="R22" s="3">
        <v>124</v>
      </c>
      <c r="S22" s="3">
        <v>8.15</v>
      </c>
      <c r="T22" s="3">
        <v>7.8500000000000005</v>
      </c>
      <c r="U22" s="3"/>
      <c r="V22" s="3"/>
      <c r="W22" s="3" t="s">
        <v>31</v>
      </c>
      <c r="X22" s="4">
        <v>46122.333333333336</v>
      </c>
      <c r="Y22" s="5">
        <v>91</v>
      </c>
      <c r="Z22" s="3" t="s">
        <v>169</v>
      </c>
    </row>
    <row r="23" spans="1:26">
      <c r="A23" s="3" t="s">
        <v>202</v>
      </c>
      <c r="B23" s="4">
        <v>46299.625</v>
      </c>
      <c r="C23" s="3">
        <v>1010.3</v>
      </c>
      <c r="D23" s="3">
        <v>3.1</v>
      </c>
      <c r="E23" s="3"/>
      <c r="F23" s="3"/>
      <c r="G23" s="3">
        <v>72.27</v>
      </c>
      <c r="H23" s="3">
        <v>71.2</v>
      </c>
      <c r="I23" s="3">
        <v>12.43</v>
      </c>
      <c r="J23" s="3">
        <v>30.68</v>
      </c>
      <c r="K23" s="3">
        <v>6.3</v>
      </c>
      <c r="L23" s="3">
        <v>24.38</v>
      </c>
      <c r="M23" s="3">
        <v>10</v>
      </c>
      <c r="N23" s="3">
        <v>0</v>
      </c>
      <c r="O23" s="3">
        <v>5.87</v>
      </c>
      <c r="P23" s="3"/>
      <c r="Q23" s="3">
        <v>21</v>
      </c>
      <c r="R23" s="3">
        <v>115</v>
      </c>
      <c r="S23" s="3"/>
      <c r="T23" s="3">
        <v>-0.3</v>
      </c>
      <c r="U23" s="3"/>
      <c r="V23" s="3"/>
      <c r="W23" s="3" t="s">
        <v>31</v>
      </c>
      <c r="X23" s="4">
        <v>46122.625</v>
      </c>
      <c r="Y23" s="5">
        <v>98</v>
      </c>
      <c r="Z23" s="3" t="s">
        <v>172</v>
      </c>
    </row>
    <row r="24" spans="1:26">
      <c r="A24" s="3" t="s">
        <v>203</v>
      </c>
      <c r="B24" s="4">
        <v>46330.333333333336</v>
      </c>
      <c r="C24" s="3">
        <v>999.5</v>
      </c>
      <c r="D24" s="3">
        <v>0.4</v>
      </c>
      <c r="E24" s="3"/>
      <c r="F24" s="3"/>
      <c r="G24" s="3"/>
      <c r="H24" s="3"/>
      <c r="I24" s="3"/>
      <c r="J24" s="3">
        <v>8.1999999999999993</v>
      </c>
      <c r="K24" s="3">
        <v>0.67</v>
      </c>
      <c r="L24" s="3">
        <v>7.5299999999999994</v>
      </c>
      <c r="M24" s="3">
        <v>46</v>
      </c>
      <c r="N24" s="3">
        <v>0</v>
      </c>
      <c r="O24" s="3">
        <v>6.63</v>
      </c>
      <c r="P24" s="3"/>
      <c r="Q24" s="3">
        <v>22</v>
      </c>
      <c r="R24" s="3">
        <v>106</v>
      </c>
      <c r="S24" s="3"/>
      <c r="T24" s="3">
        <v>-0.3</v>
      </c>
      <c r="U24" s="3"/>
      <c r="V24" s="3"/>
      <c r="W24" s="3" t="s">
        <v>31</v>
      </c>
      <c r="X24" s="4">
        <v>46123.333333333336</v>
      </c>
      <c r="Y24" s="5">
        <v>115</v>
      </c>
      <c r="Z24" s="3" t="s">
        <v>175</v>
      </c>
    </row>
    <row r="25" spans="1:26">
      <c r="A25" s="3" t="s">
        <v>205</v>
      </c>
      <c r="B25" s="4">
        <v>46330.625</v>
      </c>
      <c r="C25" s="3">
        <v>995.5</v>
      </c>
      <c r="D25" s="3">
        <v>-0.6</v>
      </c>
      <c r="E25" s="3"/>
      <c r="F25" s="3"/>
      <c r="G25" s="3">
        <v>71.12</v>
      </c>
      <c r="H25" s="3">
        <v>68.89</v>
      </c>
      <c r="I25" s="3">
        <v>10.69</v>
      </c>
      <c r="J25" s="3">
        <v>5</v>
      </c>
      <c r="K25" s="3">
        <v>0.27</v>
      </c>
      <c r="L25" s="3">
        <v>4.7300000000000004</v>
      </c>
      <c r="M25" s="3">
        <v>14</v>
      </c>
      <c r="N25" s="3">
        <v>0</v>
      </c>
      <c r="O25" s="3">
        <v>6.3</v>
      </c>
      <c r="P25" s="3"/>
      <c r="Q25" s="3">
        <v>19</v>
      </c>
      <c r="R25" s="3">
        <v>109</v>
      </c>
      <c r="S25" s="3"/>
      <c r="T25" s="3">
        <v>-0.3</v>
      </c>
      <c r="U25" s="3"/>
      <c r="V25" s="3"/>
      <c r="W25" s="3" t="s">
        <v>31</v>
      </c>
      <c r="X25" s="4">
        <v>46123.625</v>
      </c>
      <c r="Y25" s="5">
        <v>122</v>
      </c>
      <c r="Z25" s="3" t="s">
        <v>180</v>
      </c>
    </row>
    <row r="26" spans="1:26">
      <c r="A26" s="3" t="s">
        <v>206</v>
      </c>
      <c r="B26" s="4">
        <v>46360.625</v>
      </c>
      <c r="C26" s="3">
        <v>994.9</v>
      </c>
      <c r="D26" s="3">
        <v>22.8</v>
      </c>
      <c r="E26" s="3"/>
      <c r="F26" s="3"/>
      <c r="G26" s="3"/>
      <c r="H26" s="3"/>
      <c r="I26" s="3"/>
      <c r="J26" s="3">
        <v>0.12</v>
      </c>
      <c r="K26" s="3">
        <v>0.03</v>
      </c>
      <c r="L26" s="3">
        <v>0.09</v>
      </c>
      <c r="M26" s="3">
        <v>27</v>
      </c>
      <c r="N26" s="3">
        <v>0</v>
      </c>
      <c r="O26" s="3">
        <v>6.22</v>
      </c>
      <c r="P26" s="3"/>
      <c r="Q26" s="3">
        <v>20</v>
      </c>
      <c r="R26" s="3">
        <v>111</v>
      </c>
      <c r="S26" s="3">
        <v>10.94</v>
      </c>
      <c r="T26" s="3">
        <v>10.639999999999999</v>
      </c>
      <c r="U26" s="3"/>
      <c r="V26" s="3"/>
      <c r="W26" s="3" t="s">
        <v>31</v>
      </c>
      <c r="X26" s="4">
        <v>46124.625</v>
      </c>
      <c r="Y26" s="5">
        <v>146</v>
      </c>
      <c r="Z26" s="3" t="s">
        <v>183</v>
      </c>
    </row>
    <row r="27" spans="1:26">
      <c r="A27" s="3" t="s">
        <v>207</v>
      </c>
      <c r="B27" s="4" t="s">
        <v>186</v>
      </c>
      <c r="C27" s="3">
        <v>995</v>
      </c>
      <c r="D27" s="3">
        <v>-0.8</v>
      </c>
      <c r="E27" s="3"/>
      <c r="F27" s="3"/>
      <c r="G27" s="3">
        <v>61.44</v>
      </c>
      <c r="H27" s="3">
        <v>61.14</v>
      </c>
      <c r="I27" s="3">
        <v>22.75</v>
      </c>
      <c r="J27" s="3">
        <v>0.01</v>
      </c>
      <c r="K27" s="3">
        <v>0</v>
      </c>
      <c r="L27" s="3">
        <v>0.01</v>
      </c>
      <c r="M27" s="3">
        <v>29</v>
      </c>
      <c r="N27" s="3">
        <v>4</v>
      </c>
      <c r="O27" s="3">
        <v>6.17</v>
      </c>
      <c r="P27" s="3"/>
      <c r="Q27" s="3">
        <v>16</v>
      </c>
      <c r="R27" s="3">
        <v>87</v>
      </c>
      <c r="S27" s="3">
        <v>10.52</v>
      </c>
      <c r="T27" s="3">
        <v>10.219999999999999</v>
      </c>
      <c r="U27" s="3"/>
      <c r="V27" s="3"/>
      <c r="W27" s="3" t="s">
        <v>31</v>
      </c>
      <c r="X27" s="4">
        <v>46125.333333333336</v>
      </c>
      <c r="Y27" s="5">
        <v>163</v>
      </c>
      <c r="Z27" s="3" t="s">
        <v>187</v>
      </c>
    </row>
    <row r="28" spans="1:26">
      <c r="A28" s="3" t="s">
        <v>208</v>
      </c>
      <c r="B28" s="4">
        <v>46177.541666666664</v>
      </c>
      <c r="C28" s="3">
        <v>1066.7</v>
      </c>
      <c r="D28" s="3">
        <v>16.899999999999999</v>
      </c>
      <c r="E28" s="3"/>
      <c r="F28" s="3"/>
      <c r="G28" s="3">
        <v>4.22</v>
      </c>
      <c r="H28" s="3">
        <v>3.3</v>
      </c>
      <c r="I28" s="3">
        <v>14.55</v>
      </c>
      <c r="J28" s="3">
        <v>157.44</v>
      </c>
      <c r="K28" s="3">
        <v>81.63</v>
      </c>
      <c r="L28" s="3">
        <v>75.81</v>
      </c>
      <c r="M28" s="3">
        <v>93</v>
      </c>
      <c r="N28" s="3">
        <v>166</v>
      </c>
      <c r="O28" s="3">
        <v>1.17</v>
      </c>
      <c r="P28" s="3"/>
      <c r="Q28" s="3">
        <v>16</v>
      </c>
      <c r="R28" s="3">
        <v>52</v>
      </c>
      <c r="S28" s="3">
        <v>1.55</v>
      </c>
      <c r="T28" s="3">
        <v>1.25</v>
      </c>
      <c r="U28" s="3"/>
      <c r="V28" s="3"/>
      <c r="W28" s="3" t="s">
        <v>32</v>
      </c>
      <c r="X28" s="4">
        <v>46118.541666666664</v>
      </c>
      <c r="Y28" s="5">
        <v>0</v>
      </c>
      <c r="Z28" s="3" t="s">
        <v>120</v>
      </c>
    </row>
    <row r="29" spans="1:26">
      <c r="A29" s="3" t="s">
        <v>216</v>
      </c>
      <c r="B29" s="4">
        <v>46207.333333333336</v>
      </c>
      <c r="C29" s="3">
        <v>1065.2</v>
      </c>
      <c r="D29" s="3">
        <v>16.5</v>
      </c>
      <c r="E29" s="3"/>
      <c r="F29" s="3"/>
      <c r="G29" s="3">
        <v>19.739999999999998</v>
      </c>
      <c r="H29" s="3">
        <v>19.47</v>
      </c>
      <c r="I29" s="3">
        <v>26.07</v>
      </c>
      <c r="J29" s="3">
        <v>143.94</v>
      </c>
      <c r="K29" s="3">
        <v>71.62</v>
      </c>
      <c r="L29" s="3">
        <v>72.319999999999993</v>
      </c>
      <c r="M29" s="3">
        <v>76</v>
      </c>
      <c r="N29" s="3">
        <v>150</v>
      </c>
      <c r="O29" s="3">
        <v>0.9</v>
      </c>
      <c r="P29" s="3"/>
      <c r="Q29" s="3">
        <v>21</v>
      </c>
      <c r="R29" s="3">
        <v>104</v>
      </c>
      <c r="S29" s="3"/>
      <c r="T29" s="3">
        <v>-0.3</v>
      </c>
      <c r="U29" s="3"/>
      <c r="V29" s="3"/>
      <c r="W29" s="3" t="s">
        <v>32</v>
      </c>
      <c r="X29" s="4">
        <v>46119.333333333336</v>
      </c>
      <c r="Y29" s="5">
        <v>19</v>
      </c>
      <c r="Z29" s="3" t="s">
        <v>145</v>
      </c>
    </row>
    <row r="30" spans="1:26">
      <c r="A30" s="3" t="s">
        <v>217</v>
      </c>
      <c r="B30" s="4">
        <v>46207.625</v>
      </c>
      <c r="C30" s="3">
        <v>1062.9000000000001</v>
      </c>
      <c r="D30" s="3">
        <v>16.100000000000001</v>
      </c>
      <c r="E30" s="3"/>
      <c r="F30" s="3"/>
      <c r="G30" s="3">
        <v>19.510000000000002</v>
      </c>
      <c r="H30" s="3">
        <v>19.39</v>
      </c>
      <c r="I30" s="3">
        <v>35.83</v>
      </c>
      <c r="J30" s="3">
        <v>136.55000000000001</v>
      </c>
      <c r="K30" s="3">
        <v>70.180000000000007</v>
      </c>
      <c r="L30" s="3">
        <v>66.37</v>
      </c>
      <c r="M30" s="3">
        <v>62</v>
      </c>
      <c r="N30" s="3">
        <v>145</v>
      </c>
      <c r="O30" s="3">
        <v>0.99</v>
      </c>
      <c r="P30" s="3"/>
      <c r="Q30" s="3">
        <v>20</v>
      </c>
      <c r="R30" s="3">
        <v>101</v>
      </c>
      <c r="S30" s="3"/>
      <c r="T30" s="3">
        <v>-0.3</v>
      </c>
      <c r="U30" s="3"/>
      <c r="V30" s="3"/>
      <c r="W30" s="3" t="s">
        <v>32</v>
      </c>
      <c r="X30" s="4">
        <v>46119.625</v>
      </c>
      <c r="Y30" s="5">
        <v>26</v>
      </c>
      <c r="Z30" s="3" t="s">
        <v>151</v>
      </c>
    </row>
    <row r="31" spans="1:26">
      <c r="A31" s="3" t="s">
        <v>218</v>
      </c>
      <c r="B31" s="4">
        <v>46238.333333333336</v>
      </c>
      <c r="C31" s="3">
        <v>1058.3</v>
      </c>
      <c r="D31" s="3">
        <v>14.8</v>
      </c>
      <c r="E31" s="3"/>
      <c r="F31" s="3"/>
      <c r="G31" s="3">
        <v>36.56</v>
      </c>
      <c r="H31" s="3">
        <v>30.65</v>
      </c>
      <c r="I31" s="3">
        <v>23.53</v>
      </c>
      <c r="J31" s="3">
        <v>129.96</v>
      </c>
      <c r="K31" s="3">
        <v>60.47</v>
      </c>
      <c r="L31" s="3">
        <v>69.490000000000009</v>
      </c>
      <c r="M31" s="3">
        <v>46</v>
      </c>
      <c r="N31" s="3">
        <v>105</v>
      </c>
      <c r="O31" s="3">
        <v>2.34</v>
      </c>
      <c r="P31" s="3"/>
      <c r="Q31" s="3">
        <v>35</v>
      </c>
      <c r="R31" s="3">
        <v>120</v>
      </c>
      <c r="S31" s="3"/>
      <c r="T31" s="3">
        <v>-0.3</v>
      </c>
      <c r="U31" s="3"/>
      <c r="V31" s="3"/>
      <c r="W31" s="3" t="s">
        <v>32</v>
      </c>
      <c r="X31" s="4">
        <v>46120.333333333336</v>
      </c>
      <c r="Y31" s="5">
        <v>43</v>
      </c>
      <c r="Z31" s="3" t="s">
        <v>154</v>
      </c>
    </row>
    <row r="32" spans="1:26">
      <c r="A32" s="3" t="s">
        <v>219</v>
      </c>
      <c r="B32" s="4">
        <v>46238.625</v>
      </c>
      <c r="C32" s="3">
        <v>1054.3</v>
      </c>
      <c r="D32" s="3">
        <v>14</v>
      </c>
      <c r="E32" s="3"/>
      <c r="F32" s="3"/>
      <c r="G32" s="3">
        <v>41.55</v>
      </c>
      <c r="H32" s="3">
        <v>41.24</v>
      </c>
      <c r="I32" s="3">
        <v>34.200000000000003</v>
      </c>
      <c r="J32" s="3">
        <v>127.54</v>
      </c>
      <c r="K32" s="3">
        <v>61.47</v>
      </c>
      <c r="L32" s="3">
        <v>66.070000000000007</v>
      </c>
      <c r="M32" s="3">
        <v>36</v>
      </c>
      <c r="N32" s="3">
        <v>80</v>
      </c>
      <c r="O32" s="3">
        <v>2.83</v>
      </c>
      <c r="P32" s="3"/>
      <c r="Q32" s="3">
        <v>44</v>
      </c>
      <c r="R32" s="3">
        <v>141</v>
      </c>
      <c r="S32" s="3">
        <v>2.97</v>
      </c>
      <c r="T32" s="3">
        <v>2.6700000000000004</v>
      </c>
      <c r="U32" s="3"/>
      <c r="V32" s="3"/>
      <c r="W32" s="3" t="s">
        <v>32</v>
      </c>
      <c r="X32" s="4">
        <v>46120.625</v>
      </c>
      <c r="Y32" s="5">
        <v>50</v>
      </c>
      <c r="Z32" s="3" t="s">
        <v>157</v>
      </c>
    </row>
    <row r="33" spans="1:26">
      <c r="A33" s="3" t="s">
        <v>220</v>
      </c>
      <c r="B33" s="4">
        <v>46269.333333333336</v>
      </c>
      <c r="C33" s="3">
        <v>1046.4000000000001</v>
      </c>
      <c r="D33" s="3">
        <v>11.9</v>
      </c>
      <c r="E33" s="3"/>
      <c r="F33" s="3"/>
      <c r="G33" s="3">
        <v>65.13</v>
      </c>
      <c r="H33" s="3">
        <v>65.05</v>
      </c>
      <c r="I33" s="3">
        <v>22.17</v>
      </c>
      <c r="J33" s="3">
        <v>105.5</v>
      </c>
      <c r="K33" s="3">
        <v>44.39</v>
      </c>
      <c r="L33" s="3">
        <v>61.11</v>
      </c>
      <c r="M33" s="3">
        <v>24</v>
      </c>
      <c r="N33" s="3">
        <v>20</v>
      </c>
      <c r="O33" s="3">
        <v>3.45</v>
      </c>
      <c r="P33" s="3"/>
      <c r="Q33" s="3">
        <v>48</v>
      </c>
      <c r="R33" s="3">
        <v>120</v>
      </c>
      <c r="S33" s="3"/>
      <c r="T33" s="3">
        <v>-0.3</v>
      </c>
      <c r="U33" s="3"/>
      <c r="V33" s="3"/>
      <c r="W33" s="3" t="s">
        <v>32</v>
      </c>
      <c r="X33" s="4">
        <v>46121.333333333336</v>
      </c>
      <c r="Y33" s="5">
        <v>67</v>
      </c>
      <c r="Z33" s="3" t="s">
        <v>161</v>
      </c>
    </row>
    <row r="34" spans="1:26">
      <c r="A34" s="3" t="s">
        <v>221</v>
      </c>
      <c r="B34" s="4">
        <v>46269.625</v>
      </c>
      <c r="C34" s="3">
        <v>1040</v>
      </c>
      <c r="D34" s="3">
        <v>10.6</v>
      </c>
      <c r="E34" s="3"/>
      <c r="F34" s="3"/>
      <c r="G34" s="3">
        <v>46.08</v>
      </c>
      <c r="H34" s="3">
        <v>45.93</v>
      </c>
      <c r="I34" s="3">
        <v>23.33</v>
      </c>
      <c r="J34" s="3">
        <v>95</v>
      </c>
      <c r="K34" s="3">
        <v>38.909999999999997</v>
      </c>
      <c r="L34" s="3">
        <v>56.09</v>
      </c>
      <c r="M34" s="3">
        <v>21</v>
      </c>
      <c r="N34" s="3">
        <v>0</v>
      </c>
      <c r="O34" s="3">
        <v>3.67</v>
      </c>
      <c r="P34" s="3"/>
      <c r="Q34" s="3">
        <v>50</v>
      </c>
      <c r="R34" s="3">
        <v>144</v>
      </c>
      <c r="S34" s="3"/>
      <c r="T34" s="3">
        <v>-0.3</v>
      </c>
      <c r="U34" s="3"/>
      <c r="V34" s="3"/>
      <c r="W34" s="3" t="s">
        <v>32</v>
      </c>
      <c r="X34" s="4">
        <v>46121.625</v>
      </c>
      <c r="Y34" s="5">
        <v>74</v>
      </c>
      <c r="Z34" s="3" t="s">
        <v>166</v>
      </c>
    </row>
    <row r="35" spans="1:26">
      <c r="A35" s="3" t="s">
        <v>222</v>
      </c>
      <c r="B35" s="4">
        <v>46299.625</v>
      </c>
      <c r="C35" s="3">
        <v>1026.2</v>
      </c>
      <c r="D35" s="3">
        <v>7.1</v>
      </c>
      <c r="E35" s="3"/>
      <c r="F35" s="3"/>
      <c r="G35" s="3">
        <v>79.569999999999993</v>
      </c>
      <c r="H35" s="3">
        <v>77.73</v>
      </c>
      <c r="I35" s="3">
        <v>16.12</v>
      </c>
      <c r="J35" s="3">
        <v>63.93</v>
      </c>
      <c r="K35" s="3">
        <v>20.89</v>
      </c>
      <c r="L35" s="3">
        <v>43.04</v>
      </c>
      <c r="M35" s="3">
        <v>0</v>
      </c>
      <c r="N35" s="3">
        <v>0</v>
      </c>
      <c r="O35" s="3">
        <v>4.8899999999999997</v>
      </c>
      <c r="P35" s="3"/>
      <c r="Q35" s="3">
        <v>34</v>
      </c>
      <c r="R35" s="3">
        <v>118</v>
      </c>
      <c r="S35" s="3"/>
      <c r="T35" s="3">
        <v>-0.3</v>
      </c>
      <c r="U35" s="3"/>
      <c r="V35" s="3"/>
      <c r="W35" s="3" t="s">
        <v>32</v>
      </c>
      <c r="X35" s="4">
        <v>46122.625</v>
      </c>
      <c r="Y35" s="5">
        <v>98</v>
      </c>
      <c r="Z35" s="3" t="s">
        <v>172</v>
      </c>
    </row>
    <row r="36" spans="1:26">
      <c r="A36" s="3" t="s">
        <v>224</v>
      </c>
      <c r="B36" s="4">
        <v>46330.333333333336</v>
      </c>
      <c r="C36" s="3">
        <v>1016.1</v>
      </c>
      <c r="D36" s="3">
        <v>4.5999999999999996</v>
      </c>
      <c r="E36" s="3"/>
      <c r="F36" s="3"/>
      <c r="G36" s="3"/>
      <c r="H36" s="3"/>
      <c r="I36" s="3"/>
      <c r="J36" s="3">
        <v>43.21</v>
      </c>
      <c r="K36" s="3">
        <v>11.13</v>
      </c>
      <c r="L36" s="3">
        <v>32.08</v>
      </c>
      <c r="M36" s="3">
        <v>58</v>
      </c>
      <c r="N36" s="3">
        <v>0</v>
      </c>
      <c r="O36" s="3">
        <v>5.56</v>
      </c>
      <c r="P36" s="3"/>
      <c r="Q36" s="3">
        <v>20</v>
      </c>
      <c r="R36" s="3">
        <v>120</v>
      </c>
      <c r="S36" s="3">
        <v>8.1199999999999992</v>
      </c>
      <c r="T36" s="3">
        <v>7.8199999999999994</v>
      </c>
      <c r="U36" s="3"/>
      <c r="V36" s="3"/>
      <c r="W36" s="3" t="s">
        <v>32</v>
      </c>
      <c r="X36" s="4">
        <v>46123.333333333336</v>
      </c>
      <c r="Y36" s="5">
        <v>115</v>
      </c>
      <c r="Z36" s="3" t="s">
        <v>175</v>
      </c>
    </row>
    <row r="37" spans="1:26">
      <c r="A37" s="3" t="s">
        <v>225</v>
      </c>
      <c r="B37" s="4">
        <v>46330.625</v>
      </c>
      <c r="C37" s="3">
        <v>1011.7</v>
      </c>
      <c r="D37" s="3">
        <v>3.6</v>
      </c>
      <c r="E37" s="3"/>
      <c r="F37" s="3"/>
      <c r="G37" s="3">
        <v>63.67</v>
      </c>
      <c r="H37" s="3">
        <v>60.52</v>
      </c>
      <c r="I37" s="3">
        <v>8.56</v>
      </c>
      <c r="J37" s="3">
        <v>38.71</v>
      </c>
      <c r="K37" s="3">
        <v>9.4600000000000009</v>
      </c>
      <c r="L37" s="3">
        <v>29.25</v>
      </c>
      <c r="M37" s="3">
        <v>27</v>
      </c>
      <c r="N37" s="3">
        <v>0</v>
      </c>
      <c r="O37" s="3">
        <v>5.75</v>
      </c>
      <c r="P37" s="3"/>
      <c r="Q37" s="3">
        <v>26</v>
      </c>
      <c r="R37" s="3">
        <v>119</v>
      </c>
      <c r="S37" s="3"/>
      <c r="T37" s="3">
        <v>-0.3</v>
      </c>
      <c r="U37" s="3"/>
      <c r="V37" s="3"/>
      <c r="W37" s="3" t="s">
        <v>32</v>
      </c>
      <c r="X37" s="4">
        <v>46123.625</v>
      </c>
      <c r="Y37" s="5">
        <v>122</v>
      </c>
      <c r="Z37" s="3" t="s">
        <v>180</v>
      </c>
    </row>
    <row r="38" spans="1:26">
      <c r="A38" s="3" t="s">
        <v>226</v>
      </c>
      <c r="B38" s="4">
        <v>46360.333333333336</v>
      </c>
      <c r="C38" s="3">
        <v>1006.9</v>
      </c>
      <c r="D38" s="3">
        <v>2.2000000000000002</v>
      </c>
      <c r="E38" s="3"/>
      <c r="F38" s="3"/>
      <c r="G38" s="3">
        <v>64.44</v>
      </c>
      <c r="H38" s="3">
        <v>62.14</v>
      </c>
      <c r="I38" s="3">
        <v>7.15</v>
      </c>
      <c r="J38" s="3">
        <v>21.27</v>
      </c>
      <c r="K38" s="3">
        <v>2.4500000000000002</v>
      </c>
      <c r="L38" s="3">
        <v>18.82</v>
      </c>
      <c r="M38" s="3">
        <v>39</v>
      </c>
      <c r="N38" s="3">
        <v>0</v>
      </c>
      <c r="O38" s="3">
        <v>6.24</v>
      </c>
      <c r="P38" s="3"/>
      <c r="Q38" s="3">
        <v>21</v>
      </c>
      <c r="R38" s="3">
        <v>123</v>
      </c>
      <c r="S38" s="3"/>
      <c r="T38" s="3">
        <v>-0.3</v>
      </c>
      <c r="U38" s="3"/>
      <c r="V38" s="3"/>
      <c r="W38" s="3" t="s">
        <v>32</v>
      </c>
      <c r="X38" s="4">
        <v>46124.333333333336</v>
      </c>
      <c r="Y38" s="5">
        <v>139</v>
      </c>
      <c r="Z38" s="3" t="s">
        <v>227</v>
      </c>
    </row>
    <row r="39" spans="1:26">
      <c r="A39" s="3" t="s">
        <v>229</v>
      </c>
      <c r="B39" s="4">
        <v>46360.625</v>
      </c>
      <c r="C39" s="3">
        <v>1001.5</v>
      </c>
      <c r="D39" s="3">
        <v>22.5</v>
      </c>
      <c r="E39" s="3"/>
      <c r="F39" s="3"/>
      <c r="G39" s="3"/>
      <c r="H39" s="3"/>
      <c r="I39" s="3"/>
      <c r="J39" s="3">
        <v>13.71</v>
      </c>
      <c r="K39" s="3">
        <v>1.33</v>
      </c>
      <c r="L39" s="3">
        <v>12.38</v>
      </c>
      <c r="M39" s="3">
        <v>41</v>
      </c>
      <c r="N39" s="3">
        <v>0</v>
      </c>
      <c r="O39" s="3">
        <v>6.01</v>
      </c>
      <c r="P39" s="3"/>
      <c r="Q39" s="3">
        <v>20</v>
      </c>
      <c r="R39" s="3">
        <v>123</v>
      </c>
      <c r="S39" s="3">
        <v>10.07</v>
      </c>
      <c r="T39" s="3">
        <v>9.77</v>
      </c>
      <c r="U39" s="3"/>
      <c r="V39" s="3"/>
      <c r="W39" s="3" t="s">
        <v>32</v>
      </c>
      <c r="X39" s="4">
        <v>46124.625</v>
      </c>
      <c r="Y39" s="5">
        <v>146</v>
      </c>
      <c r="Z39" s="3" t="s">
        <v>183</v>
      </c>
    </row>
    <row r="40" spans="1:26">
      <c r="A40" s="3" t="s">
        <v>230</v>
      </c>
      <c r="B40" s="4" t="s">
        <v>231</v>
      </c>
      <c r="C40" s="3">
        <v>996.7</v>
      </c>
      <c r="D40" s="3">
        <v>-0.2</v>
      </c>
      <c r="E40" s="3"/>
      <c r="F40" s="3"/>
      <c r="G40" s="3">
        <v>49.77</v>
      </c>
      <c r="H40" s="3">
        <v>49.16</v>
      </c>
      <c r="I40" s="3">
        <v>17.440000000000001</v>
      </c>
      <c r="J40" s="3">
        <v>4.6900000000000004</v>
      </c>
      <c r="K40" s="3">
        <v>0.19</v>
      </c>
      <c r="L40" s="3">
        <v>4.5</v>
      </c>
      <c r="M40" s="3">
        <v>39</v>
      </c>
      <c r="N40" s="3">
        <v>7</v>
      </c>
      <c r="O40" s="3">
        <v>5.78</v>
      </c>
      <c r="P40" s="3"/>
      <c r="Q40" s="3">
        <v>17</v>
      </c>
      <c r="R40" s="3">
        <v>104</v>
      </c>
      <c r="S40" s="3"/>
      <c r="T40" s="3">
        <v>-0.3</v>
      </c>
      <c r="U40" s="3"/>
      <c r="V40" s="3"/>
      <c r="W40" s="3" t="s">
        <v>32</v>
      </c>
      <c r="X40" s="4">
        <v>46125.625</v>
      </c>
      <c r="Y40" s="5">
        <v>170</v>
      </c>
      <c r="Z40" s="3" t="s">
        <v>187</v>
      </c>
    </row>
    <row r="41" spans="1:26">
      <c r="A41" s="3" t="s">
        <v>233</v>
      </c>
      <c r="B41" s="4" t="s">
        <v>234</v>
      </c>
      <c r="C41" s="3">
        <v>996</v>
      </c>
      <c r="D41" s="3">
        <v>-0.5</v>
      </c>
      <c r="E41" s="3"/>
      <c r="F41" s="3"/>
      <c r="G41" s="3">
        <v>57.07</v>
      </c>
      <c r="H41" s="3">
        <v>56.68</v>
      </c>
      <c r="I41" s="3">
        <v>19.649999999999999</v>
      </c>
      <c r="J41" s="3">
        <v>0.88</v>
      </c>
      <c r="K41" s="3">
        <v>0</v>
      </c>
      <c r="L41" s="3">
        <v>0.88</v>
      </c>
      <c r="M41" s="3">
        <v>40</v>
      </c>
      <c r="N41" s="3">
        <v>2</v>
      </c>
      <c r="O41" s="3">
        <v>5.62</v>
      </c>
      <c r="P41" s="3"/>
      <c r="Q41" s="3">
        <v>17</v>
      </c>
      <c r="R41" s="3">
        <v>111</v>
      </c>
      <c r="S41" s="3"/>
      <c r="T41" s="3">
        <v>-0.3</v>
      </c>
      <c r="U41" s="3"/>
      <c r="V41" s="3"/>
      <c r="W41" s="3" t="s">
        <v>32</v>
      </c>
      <c r="X41" s="4">
        <v>46126.625</v>
      </c>
      <c r="Y41" s="5">
        <v>194</v>
      </c>
      <c r="Z41" s="3" t="s">
        <v>187</v>
      </c>
    </row>
    <row r="42" spans="1:26">
      <c r="A42" s="3" t="s">
        <v>236</v>
      </c>
      <c r="B42" s="4" t="s">
        <v>237</v>
      </c>
      <c r="C42" s="3">
        <v>995.4</v>
      </c>
      <c r="D42" s="3">
        <v>-0.7</v>
      </c>
      <c r="E42" s="3"/>
      <c r="F42" s="3"/>
      <c r="G42" s="3">
        <v>83.72</v>
      </c>
      <c r="H42" s="3">
        <v>83.49</v>
      </c>
      <c r="I42" s="3">
        <v>18.440000000000001</v>
      </c>
      <c r="J42" s="3">
        <v>0.17</v>
      </c>
      <c r="K42" s="3">
        <v>0</v>
      </c>
      <c r="L42" s="3">
        <v>0.17</v>
      </c>
      <c r="M42" s="3">
        <v>32</v>
      </c>
      <c r="N42" s="3">
        <v>0</v>
      </c>
      <c r="O42" s="3">
        <v>6.34</v>
      </c>
      <c r="P42" s="3"/>
      <c r="Q42" s="3">
        <v>15</v>
      </c>
      <c r="R42" s="3">
        <v>101</v>
      </c>
      <c r="S42" s="3">
        <v>10.78</v>
      </c>
      <c r="T42" s="3">
        <v>10.479999999999999</v>
      </c>
      <c r="U42" s="3"/>
      <c r="V42" s="3"/>
      <c r="W42" s="3" t="s">
        <v>32</v>
      </c>
      <c r="X42" s="4">
        <v>46127.333333333336</v>
      </c>
      <c r="Y42" s="5">
        <v>211</v>
      </c>
      <c r="Z42" s="3" t="s">
        <v>187</v>
      </c>
    </row>
    <row r="43" spans="1:26">
      <c r="A43" s="3" t="s">
        <v>238</v>
      </c>
      <c r="B43" s="4">
        <v>46129.666666666664</v>
      </c>
      <c r="C43" s="3"/>
      <c r="D43" s="3"/>
      <c r="E43" s="3">
        <v>3.06</v>
      </c>
      <c r="F43" s="3">
        <v>1.41</v>
      </c>
      <c r="G43" s="3">
        <v>9.75</v>
      </c>
      <c r="H43" s="3">
        <v>9.7200000000000006</v>
      </c>
      <c r="I43" s="3">
        <v>12.99</v>
      </c>
      <c r="J43" s="3">
        <v>152.07</v>
      </c>
      <c r="K43" s="3">
        <v>77.52</v>
      </c>
      <c r="L43" s="3">
        <v>74.55</v>
      </c>
      <c r="M43" s="3">
        <v>98</v>
      </c>
      <c r="N43" s="3">
        <v>172</v>
      </c>
      <c r="O43" s="3">
        <v>0.89</v>
      </c>
      <c r="P43" s="3">
        <v>7.0000000000000007E-2</v>
      </c>
      <c r="Q43" s="3">
        <v>0</v>
      </c>
      <c r="R43" s="3">
        <v>0</v>
      </c>
      <c r="S43" s="3">
        <v>1.79</v>
      </c>
      <c r="T43" s="3">
        <v>1.49</v>
      </c>
      <c r="U43" s="3"/>
      <c r="V43" s="3"/>
      <c r="W43" s="3" t="s">
        <v>34</v>
      </c>
      <c r="X43" s="4">
        <v>46129.666666666664</v>
      </c>
      <c r="Y43" s="5">
        <v>0</v>
      </c>
      <c r="Z43" s="3" t="s">
        <v>239</v>
      </c>
    </row>
    <row r="44" spans="1:26">
      <c r="A44" s="3" t="s">
        <v>246</v>
      </c>
      <c r="B44" s="4">
        <v>46130.333333333336</v>
      </c>
      <c r="C44" s="3">
        <v>1062.5999999999999</v>
      </c>
      <c r="D44" s="3">
        <v>15.9</v>
      </c>
      <c r="E44" s="3">
        <v>3.03</v>
      </c>
      <c r="F44" s="3">
        <v>1.03</v>
      </c>
      <c r="G44" s="3">
        <v>21.31</v>
      </c>
      <c r="H44" s="3">
        <v>21.04</v>
      </c>
      <c r="I44" s="3">
        <v>36.4</v>
      </c>
      <c r="J44" s="3">
        <v>142.97999999999999</v>
      </c>
      <c r="K44" s="3">
        <v>70.58</v>
      </c>
      <c r="L44" s="3">
        <v>72.399999999999991</v>
      </c>
      <c r="M44" s="3">
        <v>74</v>
      </c>
      <c r="N44" s="3">
        <v>142</v>
      </c>
      <c r="O44" s="3">
        <v>1.5</v>
      </c>
      <c r="P44" s="3">
        <v>0.15</v>
      </c>
      <c r="Q44" s="3">
        <v>18</v>
      </c>
      <c r="R44" s="3">
        <v>103</v>
      </c>
      <c r="S44" s="3"/>
      <c r="T44" s="3">
        <v>-0.3</v>
      </c>
      <c r="U44" s="3"/>
      <c r="V44" s="3"/>
      <c r="W44" s="3" t="s">
        <v>34</v>
      </c>
      <c r="X44" s="4">
        <v>46130.333333333336</v>
      </c>
      <c r="Y44" s="5">
        <v>16</v>
      </c>
      <c r="Z44" s="3" t="s">
        <v>239</v>
      </c>
    </row>
    <row r="45" spans="1:26">
      <c r="A45" s="3" t="s">
        <v>247</v>
      </c>
      <c r="B45" s="4">
        <v>46130.666666666664</v>
      </c>
      <c r="C45" s="3">
        <v>1062.5</v>
      </c>
      <c r="D45" s="3">
        <v>15.8</v>
      </c>
      <c r="E45" s="3">
        <v>2.99</v>
      </c>
      <c r="F45" s="3">
        <v>1.18</v>
      </c>
      <c r="G45" s="3">
        <v>24.5</v>
      </c>
      <c r="H45" s="3">
        <v>24.46</v>
      </c>
      <c r="I45" s="3">
        <v>39.81</v>
      </c>
      <c r="J45" s="3">
        <v>147.91</v>
      </c>
      <c r="K45" s="3">
        <v>71.45</v>
      </c>
      <c r="L45" s="3">
        <v>76.459999999999994</v>
      </c>
      <c r="M45" s="3">
        <v>67</v>
      </c>
      <c r="N45" s="3">
        <v>135</v>
      </c>
      <c r="O45" s="3">
        <v>1.46</v>
      </c>
      <c r="P45" s="3">
        <v>0.12</v>
      </c>
      <c r="Q45" s="3">
        <v>20</v>
      </c>
      <c r="R45" s="3">
        <v>101</v>
      </c>
      <c r="S45" s="3">
        <v>3.02</v>
      </c>
      <c r="T45" s="3">
        <v>2.72</v>
      </c>
      <c r="U45" s="3"/>
      <c r="V45" s="3"/>
      <c r="W45" s="3" t="s">
        <v>34</v>
      </c>
      <c r="X45" s="4">
        <v>46130.666666666664</v>
      </c>
      <c r="Y45" s="5">
        <v>24</v>
      </c>
      <c r="Z45" s="3" t="s">
        <v>239</v>
      </c>
    </row>
    <row r="46" spans="1:26">
      <c r="A46" s="3" t="s">
        <v>248</v>
      </c>
      <c r="B46" s="4">
        <v>46131.333333333336</v>
      </c>
      <c r="C46" s="3">
        <v>1052</v>
      </c>
      <c r="D46" s="3">
        <v>13.2</v>
      </c>
      <c r="E46" s="3">
        <v>2.83</v>
      </c>
      <c r="F46" s="3">
        <v>0.8</v>
      </c>
      <c r="G46" s="3">
        <v>41.71</v>
      </c>
      <c r="H46" s="3">
        <v>41.59</v>
      </c>
      <c r="I46" s="3">
        <v>28.64</v>
      </c>
      <c r="J46" s="3">
        <v>121.21</v>
      </c>
      <c r="K46" s="3">
        <v>56.1</v>
      </c>
      <c r="L46" s="3">
        <v>65.109999999999985</v>
      </c>
      <c r="M46" s="3">
        <v>36</v>
      </c>
      <c r="N46" s="3">
        <v>32</v>
      </c>
      <c r="O46" s="3">
        <v>3.37</v>
      </c>
      <c r="P46" s="3">
        <v>0.23</v>
      </c>
      <c r="Q46" s="3">
        <v>60</v>
      </c>
      <c r="R46" s="3">
        <v>113</v>
      </c>
      <c r="S46" s="3"/>
      <c r="T46" s="3">
        <v>-0.3</v>
      </c>
      <c r="U46" s="3"/>
      <c r="V46" s="3"/>
      <c r="W46" s="3" t="s">
        <v>34</v>
      </c>
      <c r="X46" s="4">
        <v>46131.333333333336</v>
      </c>
      <c r="Y46" s="5">
        <v>40</v>
      </c>
      <c r="Z46" s="3" t="s">
        <v>239</v>
      </c>
    </row>
    <row r="47" spans="1:26">
      <c r="A47" s="3" t="s">
        <v>249</v>
      </c>
      <c r="B47" s="4">
        <v>46131.666666666664</v>
      </c>
      <c r="C47" s="3">
        <v>1046.7</v>
      </c>
      <c r="D47" s="3">
        <v>11.8</v>
      </c>
      <c r="E47" s="3">
        <v>2.78</v>
      </c>
      <c r="F47" s="3">
        <v>0.63</v>
      </c>
      <c r="G47" s="3">
        <v>47.08</v>
      </c>
      <c r="H47" s="3">
        <v>47.08</v>
      </c>
      <c r="I47" s="3">
        <v>25.69</v>
      </c>
      <c r="J47" s="3">
        <v>105.17</v>
      </c>
      <c r="K47" s="3">
        <v>49.74</v>
      </c>
      <c r="L47" s="3">
        <v>55.43</v>
      </c>
      <c r="M47" s="3">
        <v>35</v>
      </c>
      <c r="N47" s="3">
        <v>5</v>
      </c>
      <c r="O47" s="3">
        <v>3.36</v>
      </c>
      <c r="P47" s="3">
        <v>0.22</v>
      </c>
      <c r="Q47" s="3">
        <v>44</v>
      </c>
      <c r="R47" s="3">
        <v>123</v>
      </c>
      <c r="S47" s="3">
        <v>4.1399999999999997</v>
      </c>
      <c r="T47" s="3">
        <v>3.84</v>
      </c>
      <c r="U47" s="3"/>
      <c r="V47" s="3"/>
      <c r="W47" s="3" t="s">
        <v>34</v>
      </c>
      <c r="X47" s="4">
        <v>46131.666666666664</v>
      </c>
      <c r="Y47" s="5">
        <v>48</v>
      </c>
      <c r="Z47" s="3" t="s">
        <v>239</v>
      </c>
    </row>
    <row r="48" spans="1:26">
      <c r="A48" s="3" t="s">
        <v>251</v>
      </c>
      <c r="B48" s="4">
        <v>46132.333333333336</v>
      </c>
      <c r="C48" s="3">
        <v>1033.7</v>
      </c>
      <c r="D48" s="3">
        <v>8.8000000000000007</v>
      </c>
      <c r="E48" s="3">
        <v>2.76</v>
      </c>
      <c r="F48" s="3">
        <v>0.79</v>
      </c>
      <c r="G48" s="3">
        <v>56.99</v>
      </c>
      <c r="H48" s="3">
        <v>56.68</v>
      </c>
      <c r="I48" s="3">
        <v>21.16</v>
      </c>
      <c r="J48" s="3">
        <v>81.62</v>
      </c>
      <c r="K48" s="3">
        <v>29.71</v>
      </c>
      <c r="L48" s="3">
        <v>51.910000000000004</v>
      </c>
      <c r="M48" s="3">
        <v>2</v>
      </c>
      <c r="N48" s="3">
        <v>0</v>
      </c>
      <c r="O48" s="3">
        <v>4.17</v>
      </c>
      <c r="P48" s="3">
        <v>0.39</v>
      </c>
      <c r="Q48" s="3">
        <v>32</v>
      </c>
      <c r="R48" s="3">
        <v>104</v>
      </c>
      <c r="S48" s="3"/>
      <c r="T48" s="3">
        <v>-0.3</v>
      </c>
      <c r="U48" s="3"/>
      <c r="V48" s="3"/>
      <c r="W48" s="3" t="s">
        <v>34</v>
      </c>
      <c r="X48" s="4">
        <v>46132.333333333336</v>
      </c>
      <c r="Y48" s="5">
        <v>64</v>
      </c>
      <c r="Z48" s="3" t="s">
        <v>239</v>
      </c>
    </row>
    <row r="49" spans="1:26">
      <c r="A49" s="3" t="s">
        <v>252</v>
      </c>
      <c r="B49" s="4">
        <v>46132.666666666664</v>
      </c>
      <c r="C49" s="3">
        <v>1026.0999999999999</v>
      </c>
      <c r="D49" s="3">
        <v>7.1</v>
      </c>
      <c r="E49" s="3">
        <v>2.84</v>
      </c>
      <c r="F49" s="3">
        <v>0.33</v>
      </c>
      <c r="G49" s="3">
        <v>56.99</v>
      </c>
      <c r="H49" s="3">
        <v>56.68</v>
      </c>
      <c r="I49" s="3">
        <v>22.64</v>
      </c>
      <c r="J49" s="3">
        <v>70.17</v>
      </c>
      <c r="K49" s="3">
        <v>24.29</v>
      </c>
      <c r="L49" s="3">
        <v>45.88</v>
      </c>
      <c r="M49" s="3">
        <v>24</v>
      </c>
      <c r="N49" s="3">
        <v>29</v>
      </c>
      <c r="O49" s="3">
        <v>3.6</v>
      </c>
      <c r="P49" s="3">
        <v>0.3</v>
      </c>
      <c r="Q49" s="3">
        <v>35</v>
      </c>
      <c r="R49" s="3">
        <v>122</v>
      </c>
      <c r="S49" s="3"/>
      <c r="T49" s="3">
        <v>-0.3</v>
      </c>
      <c r="U49" s="3"/>
      <c r="V49" s="3"/>
      <c r="W49" s="3" t="s">
        <v>34</v>
      </c>
      <c r="X49" s="4">
        <v>46132.666666666664</v>
      </c>
      <c r="Y49" s="5">
        <v>72</v>
      </c>
      <c r="Z49" s="3" t="s">
        <v>239</v>
      </c>
    </row>
    <row r="50" spans="1:26">
      <c r="A50" s="3" t="s">
        <v>254</v>
      </c>
      <c r="B50" s="4">
        <v>46133.333333333336</v>
      </c>
      <c r="C50" s="3">
        <v>1013.6</v>
      </c>
      <c r="D50" s="3">
        <v>4</v>
      </c>
      <c r="E50" s="3">
        <v>2.82</v>
      </c>
      <c r="F50" s="3">
        <v>0.5</v>
      </c>
      <c r="G50" s="3">
        <v>65.209999999999994</v>
      </c>
      <c r="H50" s="3">
        <v>64.819999999999993</v>
      </c>
      <c r="I50" s="3">
        <v>22.61</v>
      </c>
      <c r="J50" s="3">
        <v>37.770000000000003</v>
      </c>
      <c r="K50" s="3">
        <v>11.91</v>
      </c>
      <c r="L50" s="3">
        <v>25.860000000000003</v>
      </c>
      <c r="M50" s="3">
        <v>19</v>
      </c>
      <c r="N50" s="3">
        <v>0</v>
      </c>
      <c r="O50" s="3">
        <v>5.42</v>
      </c>
      <c r="P50" s="3">
        <v>0.28000000000000003</v>
      </c>
      <c r="Q50" s="3">
        <v>18</v>
      </c>
      <c r="R50" s="3">
        <v>106</v>
      </c>
      <c r="S50" s="3">
        <v>8.34</v>
      </c>
      <c r="T50" s="3">
        <v>8.0399999999999991</v>
      </c>
      <c r="U50" s="3"/>
      <c r="V50" s="3"/>
      <c r="W50" s="3" t="s">
        <v>34</v>
      </c>
      <c r="X50" s="4">
        <v>46133.333333333336</v>
      </c>
      <c r="Y50" s="5">
        <v>88</v>
      </c>
      <c r="Z50" s="3" t="s">
        <v>239</v>
      </c>
    </row>
    <row r="51" spans="1:26">
      <c r="A51" s="3" t="s">
        <v>255</v>
      </c>
      <c r="B51" s="4">
        <v>46133.666666666664</v>
      </c>
      <c r="C51" s="3">
        <v>1010</v>
      </c>
      <c r="D51" s="3">
        <v>3.1</v>
      </c>
      <c r="E51" s="3">
        <v>2.84</v>
      </c>
      <c r="F51" s="3">
        <v>0.34</v>
      </c>
      <c r="G51" s="3">
        <v>56.84</v>
      </c>
      <c r="H51" s="3">
        <v>56.53</v>
      </c>
      <c r="I51" s="3">
        <v>24.05</v>
      </c>
      <c r="J51" s="3">
        <v>31.01</v>
      </c>
      <c r="K51" s="3">
        <v>7.07</v>
      </c>
      <c r="L51" s="3">
        <v>23.94</v>
      </c>
      <c r="M51" s="3">
        <v>30</v>
      </c>
      <c r="N51" s="3">
        <v>0</v>
      </c>
      <c r="O51" s="3">
        <v>5.35</v>
      </c>
      <c r="P51" s="3">
        <v>0.36</v>
      </c>
      <c r="Q51" s="3">
        <v>31</v>
      </c>
      <c r="R51" s="3">
        <v>95</v>
      </c>
      <c r="S51" s="3"/>
      <c r="T51" s="3">
        <v>-0.3</v>
      </c>
      <c r="U51" s="3"/>
      <c r="V51" s="3"/>
      <c r="W51" s="3" t="s">
        <v>34</v>
      </c>
      <c r="X51" s="4">
        <v>46133.666666666664</v>
      </c>
      <c r="Y51" s="5">
        <v>96</v>
      </c>
      <c r="Z51" s="3" t="s">
        <v>239</v>
      </c>
    </row>
    <row r="52" spans="1:26">
      <c r="A52" s="3" t="s">
        <v>256</v>
      </c>
      <c r="B52" s="4">
        <v>46134.333333333336</v>
      </c>
      <c r="C52" s="3">
        <v>999.6</v>
      </c>
      <c r="D52" s="3">
        <v>0.5</v>
      </c>
      <c r="E52" s="3">
        <v>2.84</v>
      </c>
      <c r="F52" s="3">
        <v>0.39</v>
      </c>
      <c r="G52" s="3">
        <v>60.29</v>
      </c>
      <c r="H52" s="3">
        <v>59.83</v>
      </c>
      <c r="I52" s="3">
        <v>22.17</v>
      </c>
      <c r="J52" s="3">
        <v>7</v>
      </c>
      <c r="K52" s="3">
        <v>0.48</v>
      </c>
      <c r="L52" s="3">
        <v>6.52</v>
      </c>
      <c r="M52" s="3">
        <v>6</v>
      </c>
      <c r="N52" s="3">
        <v>0</v>
      </c>
      <c r="O52" s="3">
        <v>5.76</v>
      </c>
      <c r="P52" s="3">
        <v>0.41</v>
      </c>
      <c r="Q52" s="3">
        <v>18</v>
      </c>
      <c r="R52" s="3">
        <v>89</v>
      </c>
      <c r="S52" s="3"/>
      <c r="T52" s="3">
        <v>-0.3</v>
      </c>
      <c r="U52" s="3"/>
      <c r="V52" s="3"/>
      <c r="W52" s="3" t="s">
        <v>34</v>
      </c>
      <c r="X52" s="4">
        <v>46134.333333333336</v>
      </c>
      <c r="Y52" s="5">
        <v>112</v>
      </c>
      <c r="Z52" s="3" t="s">
        <v>239</v>
      </c>
    </row>
    <row r="53" spans="1:26">
      <c r="A53" s="3" t="s">
        <v>257</v>
      </c>
      <c r="B53" s="4">
        <v>46134.666666666664</v>
      </c>
      <c r="C53" s="3">
        <v>997.4</v>
      </c>
      <c r="D53" s="3">
        <v>-0.1</v>
      </c>
      <c r="E53" s="3">
        <v>2.88</v>
      </c>
      <c r="F53" s="3">
        <v>0.35</v>
      </c>
      <c r="G53" s="3">
        <v>59.45</v>
      </c>
      <c r="H53" s="3">
        <v>58.91</v>
      </c>
      <c r="I53" s="3">
        <v>21.58</v>
      </c>
      <c r="J53" s="3">
        <v>3.42</v>
      </c>
      <c r="K53" s="3">
        <v>0.08</v>
      </c>
      <c r="L53" s="3">
        <v>3.34</v>
      </c>
      <c r="M53" s="3">
        <v>6</v>
      </c>
      <c r="N53" s="3">
        <v>0</v>
      </c>
      <c r="O53" s="3">
        <v>5.69</v>
      </c>
      <c r="P53" s="3">
        <v>0.36</v>
      </c>
      <c r="Q53" s="3">
        <v>20</v>
      </c>
      <c r="R53" s="3">
        <v>90</v>
      </c>
      <c r="S53" s="3"/>
      <c r="T53" s="3">
        <v>-0.3</v>
      </c>
      <c r="U53" s="3"/>
      <c r="V53" s="3"/>
      <c r="W53" s="3" t="s">
        <v>34</v>
      </c>
      <c r="X53" s="4">
        <v>46134.666666666664</v>
      </c>
      <c r="Y53" s="5">
        <v>120</v>
      </c>
      <c r="Z53" s="3" t="s">
        <v>239</v>
      </c>
    </row>
    <row r="54" spans="1:26">
      <c r="A54" s="3" t="s">
        <v>258</v>
      </c>
      <c r="B54" s="4">
        <v>46135.666666666664</v>
      </c>
      <c r="C54" s="3">
        <v>995.4</v>
      </c>
      <c r="D54" s="3">
        <v>-0.6</v>
      </c>
      <c r="E54" s="3">
        <v>2.9</v>
      </c>
      <c r="F54" s="3">
        <v>1.07</v>
      </c>
      <c r="G54" s="3">
        <v>60.83</v>
      </c>
      <c r="H54" s="3">
        <v>59.91</v>
      </c>
      <c r="I54" s="3">
        <v>21.46</v>
      </c>
      <c r="J54" s="3">
        <v>0.03</v>
      </c>
      <c r="K54" s="3">
        <v>0</v>
      </c>
      <c r="L54" s="3">
        <v>0.03</v>
      </c>
      <c r="M54" s="3">
        <v>27</v>
      </c>
      <c r="N54" s="3">
        <v>0</v>
      </c>
      <c r="O54" s="3">
        <v>6.06</v>
      </c>
      <c r="P54" s="3">
        <v>0.39</v>
      </c>
      <c r="Q54" s="3">
        <v>3</v>
      </c>
      <c r="R54" s="3">
        <v>76</v>
      </c>
      <c r="S54" s="3">
        <v>10.74</v>
      </c>
      <c r="T54" s="3">
        <v>10.44</v>
      </c>
      <c r="U54" s="3"/>
      <c r="V54" s="3"/>
      <c r="W54" s="3" t="s">
        <v>34</v>
      </c>
      <c r="X54" s="4">
        <v>46135.666666666664</v>
      </c>
      <c r="Y54" s="5">
        <v>144</v>
      </c>
      <c r="Z54" s="3" t="s">
        <v>239</v>
      </c>
    </row>
    <row r="55" spans="1:26">
      <c r="A55" s="3" t="s">
        <v>259</v>
      </c>
      <c r="B55" s="4">
        <v>46136.333333333336</v>
      </c>
      <c r="C55" s="3">
        <v>995.6</v>
      </c>
      <c r="D55" s="3">
        <v>-0.6</v>
      </c>
      <c r="E55" s="3">
        <v>2.88</v>
      </c>
      <c r="F55" s="3">
        <v>1.31</v>
      </c>
      <c r="G55" s="3"/>
      <c r="H55" s="3"/>
      <c r="I55" s="3"/>
      <c r="J55" s="3">
        <v>0.01</v>
      </c>
      <c r="K55" s="3">
        <v>0</v>
      </c>
      <c r="L55" s="3">
        <v>0.01</v>
      </c>
      <c r="M55" s="3">
        <v>16</v>
      </c>
      <c r="N55" s="3">
        <v>0</v>
      </c>
      <c r="O55" s="3">
        <v>5.85</v>
      </c>
      <c r="P55" s="3">
        <v>0.33</v>
      </c>
      <c r="Q55" s="3">
        <v>12</v>
      </c>
      <c r="R55" s="3">
        <v>78</v>
      </c>
      <c r="S55" s="3">
        <v>10.6</v>
      </c>
      <c r="T55" s="3">
        <v>10.299999999999999</v>
      </c>
      <c r="U55" s="3"/>
      <c r="V55" s="3"/>
      <c r="W55" s="3" t="s">
        <v>34</v>
      </c>
      <c r="X55" s="4">
        <v>46136.333333333336</v>
      </c>
      <c r="Y55" s="5">
        <v>160</v>
      </c>
      <c r="Z55" s="3" t="s">
        <v>239</v>
      </c>
    </row>
    <row r="56" spans="1:26">
      <c r="A56" s="3" t="s">
        <v>260</v>
      </c>
      <c r="B56" s="4">
        <v>46129.666666666664</v>
      </c>
      <c r="C56" s="3"/>
      <c r="D56" s="3"/>
      <c r="E56" s="3">
        <v>3.05</v>
      </c>
      <c r="F56" s="3">
        <v>1.1599999999999999</v>
      </c>
      <c r="G56" s="3">
        <v>8.56</v>
      </c>
      <c r="H56" s="3">
        <v>8.4499999999999993</v>
      </c>
      <c r="I56" s="3">
        <v>22.42</v>
      </c>
      <c r="J56" s="3">
        <v>151.1</v>
      </c>
      <c r="K56" s="3">
        <v>76.209999999999994</v>
      </c>
      <c r="L56" s="3">
        <v>74.89</v>
      </c>
      <c r="M56" s="3">
        <v>99</v>
      </c>
      <c r="N56" s="3">
        <v>171</v>
      </c>
      <c r="O56" s="3">
        <v>0.85</v>
      </c>
      <c r="P56" s="3">
        <v>0.09</v>
      </c>
      <c r="Q56" s="3">
        <v>4</v>
      </c>
      <c r="R56" s="3">
        <v>0</v>
      </c>
      <c r="S56" s="3">
        <v>1.47</v>
      </c>
      <c r="T56" s="3">
        <v>1.17</v>
      </c>
      <c r="U56" s="3"/>
      <c r="V56" s="3"/>
      <c r="W56" s="3" t="s">
        <v>38</v>
      </c>
      <c r="X56" s="4">
        <v>46129.666666666664</v>
      </c>
      <c r="Y56" s="5">
        <v>0</v>
      </c>
      <c r="Z56" s="3" t="s">
        <v>239</v>
      </c>
    </row>
    <row r="57" spans="1:26">
      <c r="A57" s="3" t="s">
        <v>262</v>
      </c>
      <c r="B57" s="4">
        <v>46130.333333333336</v>
      </c>
      <c r="C57" s="3">
        <v>1063.7</v>
      </c>
      <c r="D57" s="3">
        <v>16</v>
      </c>
      <c r="E57" s="3">
        <v>3.02</v>
      </c>
      <c r="F57" s="3">
        <v>1.37</v>
      </c>
      <c r="G57" s="3">
        <v>22.39</v>
      </c>
      <c r="H57" s="3">
        <v>22.31</v>
      </c>
      <c r="I57" s="3">
        <v>42.37</v>
      </c>
      <c r="J57" s="3">
        <v>141.37</v>
      </c>
      <c r="K57" s="3">
        <v>69.44</v>
      </c>
      <c r="L57" s="3">
        <v>71.930000000000007</v>
      </c>
      <c r="M57" s="3">
        <v>71</v>
      </c>
      <c r="N57" s="3">
        <v>139</v>
      </c>
      <c r="O57" s="3">
        <v>1.51</v>
      </c>
      <c r="P57" s="3">
        <v>0.17</v>
      </c>
      <c r="Q57" s="3">
        <v>20</v>
      </c>
      <c r="R57" s="3">
        <v>94</v>
      </c>
      <c r="S57" s="3"/>
      <c r="T57" s="3">
        <v>-0.3</v>
      </c>
      <c r="U57" s="3"/>
      <c r="V57" s="3"/>
      <c r="W57" s="3" t="s">
        <v>38</v>
      </c>
      <c r="X57" s="4">
        <v>46130.333333333336</v>
      </c>
      <c r="Y57" s="5">
        <v>16</v>
      </c>
      <c r="Z57" s="3" t="s">
        <v>239</v>
      </c>
    </row>
    <row r="58" spans="1:26">
      <c r="A58" s="3" t="s">
        <v>263</v>
      </c>
      <c r="B58" s="4">
        <v>46130.666666666664</v>
      </c>
      <c r="C58" s="3">
        <v>1062.3</v>
      </c>
      <c r="D58" s="3">
        <v>15.7</v>
      </c>
      <c r="E58" s="3">
        <v>3.01</v>
      </c>
      <c r="F58" s="3">
        <v>1.2</v>
      </c>
      <c r="G58" s="3">
        <v>24.92</v>
      </c>
      <c r="H58" s="3">
        <v>24.92</v>
      </c>
      <c r="I58" s="3">
        <v>40.22</v>
      </c>
      <c r="J58" s="3">
        <v>145.62</v>
      </c>
      <c r="K58" s="3">
        <v>70.84</v>
      </c>
      <c r="L58" s="3">
        <v>74.78</v>
      </c>
      <c r="M58" s="3">
        <v>69</v>
      </c>
      <c r="N58" s="3">
        <v>134</v>
      </c>
      <c r="O58" s="3">
        <v>1.42</v>
      </c>
      <c r="P58" s="3">
        <v>0.16</v>
      </c>
      <c r="Q58" s="3">
        <v>21</v>
      </c>
      <c r="R58" s="3">
        <v>97</v>
      </c>
      <c r="S58" s="3">
        <v>2.94</v>
      </c>
      <c r="T58" s="3">
        <v>2.64</v>
      </c>
      <c r="U58" s="3"/>
      <c r="V58" s="3"/>
      <c r="W58" s="3" t="s">
        <v>38</v>
      </c>
      <c r="X58" s="4">
        <v>46130.666666666664</v>
      </c>
      <c r="Y58" s="5">
        <v>24</v>
      </c>
      <c r="Z58" s="3" t="s">
        <v>239</v>
      </c>
    </row>
    <row r="59" spans="1:26">
      <c r="A59" s="3" t="s">
        <v>264</v>
      </c>
      <c r="B59" s="4">
        <v>46131.333333333336</v>
      </c>
      <c r="C59" s="3">
        <v>1051.2</v>
      </c>
      <c r="D59" s="3">
        <v>13.1</v>
      </c>
      <c r="E59" s="3">
        <v>2.85</v>
      </c>
      <c r="F59" s="3">
        <v>1.22</v>
      </c>
      <c r="G59" s="3">
        <v>42.13</v>
      </c>
      <c r="H59" s="3">
        <v>41.94</v>
      </c>
      <c r="I59" s="3">
        <v>24.25</v>
      </c>
      <c r="J59" s="3">
        <v>119.44</v>
      </c>
      <c r="K59" s="3">
        <v>57.24</v>
      </c>
      <c r="L59" s="3">
        <v>62.199999999999996</v>
      </c>
      <c r="M59" s="3">
        <v>36</v>
      </c>
      <c r="N59" s="3">
        <v>34</v>
      </c>
      <c r="O59" s="3">
        <v>3.23</v>
      </c>
      <c r="P59" s="3">
        <v>0.23</v>
      </c>
      <c r="Q59" s="3">
        <v>41</v>
      </c>
      <c r="R59" s="3">
        <v>108</v>
      </c>
      <c r="S59" s="3"/>
      <c r="T59" s="3">
        <v>-0.3</v>
      </c>
      <c r="U59" s="3"/>
      <c r="V59" s="3"/>
      <c r="W59" s="3" t="s">
        <v>38</v>
      </c>
      <c r="X59" s="4">
        <v>46131.333333333336</v>
      </c>
      <c r="Y59" s="5">
        <v>40</v>
      </c>
      <c r="Z59" s="3" t="s">
        <v>239</v>
      </c>
    </row>
    <row r="60" spans="1:26">
      <c r="A60" s="3" t="s">
        <v>265</v>
      </c>
      <c r="B60" s="4">
        <v>46131.666666666664</v>
      </c>
      <c r="C60" s="3">
        <v>1047</v>
      </c>
      <c r="D60" s="3">
        <v>12.1</v>
      </c>
      <c r="E60" s="3">
        <v>2.8</v>
      </c>
      <c r="F60" s="3">
        <v>0.74</v>
      </c>
      <c r="G60" s="3">
        <v>49.39</v>
      </c>
      <c r="H60" s="3">
        <v>49.31</v>
      </c>
      <c r="I60" s="3">
        <v>23.09</v>
      </c>
      <c r="J60" s="3">
        <v>105.5</v>
      </c>
      <c r="K60" s="3">
        <v>50.13</v>
      </c>
      <c r="L60" s="3">
        <v>55.37</v>
      </c>
      <c r="M60" s="3">
        <v>33</v>
      </c>
      <c r="N60" s="3">
        <v>5</v>
      </c>
      <c r="O60" s="3">
        <v>3.3</v>
      </c>
      <c r="P60" s="3">
        <v>0.19</v>
      </c>
      <c r="Q60" s="3">
        <v>41</v>
      </c>
      <c r="R60" s="3">
        <v>127</v>
      </c>
      <c r="S60" s="3">
        <v>4.1100000000000003</v>
      </c>
      <c r="T60" s="3">
        <v>3.8100000000000005</v>
      </c>
      <c r="U60" s="3"/>
      <c r="V60" s="3"/>
      <c r="W60" s="3" t="s">
        <v>38</v>
      </c>
      <c r="X60" s="4">
        <v>46131.666666666664</v>
      </c>
      <c r="Y60" s="5">
        <v>48</v>
      </c>
      <c r="Z60" s="3" t="s">
        <v>239</v>
      </c>
    </row>
    <row r="61" spans="1:26">
      <c r="A61" s="3" t="s">
        <v>266</v>
      </c>
      <c r="B61" s="4">
        <v>46132.333333333336</v>
      </c>
      <c r="C61" s="3">
        <v>1034.2</v>
      </c>
      <c r="D61" s="3">
        <v>9</v>
      </c>
      <c r="E61" s="3">
        <v>2.79</v>
      </c>
      <c r="F61" s="3">
        <v>0.76</v>
      </c>
      <c r="G61" s="3">
        <v>62.52</v>
      </c>
      <c r="H61" s="3">
        <v>62.37</v>
      </c>
      <c r="I61" s="3">
        <v>22.48</v>
      </c>
      <c r="J61" s="3">
        <v>81.2</v>
      </c>
      <c r="K61" s="3">
        <v>29.88</v>
      </c>
      <c r="L61" s="3">
        <v>51.320000000000007</v>
      </c>
      <c r="M61" s="3">
        <v>11</v>
      </c>
      <c r="N61" s="3">
        <v>0</v>
      </c>
      <c r="O61" s="3">
        <v>4.16</v>
      </c>
      <c r="P61" s="3">
        <v>0.36</v>
      </c>
      <c r="Q61" s="3">
        <v>37</v>
      </c>
      <c r="R61" s="3">
        <v>102</v>
      </c>
      <c r="S61" s="3"/>
      <c r="T61" s="3">
        <v>-0.3</v>
      </c>
      <c r="U61" s="3"/>
      <c r="V61" s="3"/>
      <c r="W61" s="3" t="s">
        <v>38</v>
      </c>
      <c r="X61" s="4">
        <v>46132.333333333336</v>
      </c>
      <c r="Y61" s="5">
        <v>64</v>
      </c>
      <c r="Z61" s="3" t="s">
        <v>239</v>
      </c>
    </row>
    <row r="62" spans="1:26">
      <c r="A62" s="3" t="s">
        <v>267</v>
      </c>
      <c r="B62" s="4">
        <v>46132.666666666664</v>
      </c>
      <c r="C62" s="3">
        <v>1026.8</v>
      </c>
      <c r="D62" s="3">
        <v>7.3</v>
      </c>
      <c r="E62" s="3">
        <v>2.85</v>
      </c>
      <c r="F62" s="3">
        <v>0.31</v>
      </c>
      <c r="G62" s="3">
        <v>51.92</v>
      </c>
      <c r="H62" s="3">
        <v>51.69</v>
      </c>
      <c r="I62" s="3">
        <v>27.81</v>
      </c>
      <c r="J62" s="3">
        <v>69.33</v>
      </c>
      <c r="K62" s="3">
        <v>23.94</v>
      </c>
      <c r="L62" s="3">
        <v>45.39</v>
      </c>
      <c r="M62" s="3">
        <v>24</v>
      </c>
      <c r="N62" s="3">
        <v>29</v>
      </c>
      <c r="O62" s="3">
        <v>3.53</v>
      </c>
      <c r="P62" s="3">
        <v>0.31</v>
      </c>
      <c r="Q62" s="3">
        <v>42</v>
      </c>
      <c r="R62" s="3">
        <v>118</v>
      </c>
      <c r="S62" s="3"/>
      <c r="T62" s="3">
        <v>-0.3</v>
      </c>
      <c r="U62" s="3"/>
      <c r="V62" s="3"/>
      <c r="W62" s="3" t="s">
        <v>38</v>
      </c>
      <c r="X62" s="4">
        <v>46132.666666666664</v>
      </c>
      <c r="Y62" s="5">
        <v>72</v>
      </c>
      <c r="Z62" s="3" t="s">
        <v>239</v>
      </c>
    </row>
    <row r="63" spans="1:26">
      <c r="A63" s="3" t="s">
        <v>268</v>
      </c>
      <c r="B63" s="4">
        <v>46133.333333333336</v>
      </c>
      <c r="C63" s="3">
        <v>1014.2</v>
      </c>
      <c r="D63" s="3">
        <v>4</v>
      </c>
      <c r="E63" s="3">
        <v>2.8</v>
      </c>
      <c r="F63" s="3">
        <v>0.47</v>
      </c>
      <c r="G63" s="3">
        <v>59.37</v>
      </c>
      <c r="H63" s="3">
        <v>58.99</v>
      </c>
      <c r="I63" s="3">
        <v>21.86</v>
      </c>
      <c r="J63" s="3">
        <v>37.29</v>
      </c>
      <c r="K63" s="3">
        <v>11.46</v>
      </c>
      <c r="L63" s="3">
        <v>25.83</v>
      </c>
      <c r="M63" s="3">
        <v>18</v>
      </c>
      <c r="N63" s="3">
        <v>0</v>
      </c>
      <c r="O63" s="3">
        <v>5.27</v>
      </c>
      <c r="P63" s="3">
        <v>0.3</v>
      </c>
      <c r="Q63" s="3">
        <v>37</v>
      </c>
      <c r="R63" s="3">
        <v>102</v>
      </c>
      <c r="S63" s="3">
        <v>8.17</v>
      </c>
      <c r="T63" s="3">
        <v>7.87</v>
      </c>
      <c r="U63" s="3"/>
      <c r="V63" s="3"/>
      <c r="W63" s="3" t="s">
        <v>38</v>
      </c>
      <c r="X63" s="4">
        <v>46133.333333333336</v>
      </c>
      <c r="Y63" s="5">
        <v>88</v>
      </c>
      <c r="Z63" s="3" t="s">
        <v>239</v>
      </c>
    </row>
    <row r="64" spans="1:26">
      <c r="A64" s="3" t="s">
        <v>269</v>
      </c>
      <c r="B64" s="4">
        <v>46133.666666666664</v>
      </c>
      <c r="C64" s="3">
        <v>1009.4</v>
      </c>
      <c r="D64" s="3">
        <v>2.9</v>
      </c>
      <c r="E64" s="3">
        <v>2.82</v>
      </c>
      <c r="F64" s="3">
        <v>0.35</v>
      </c>
      <c r="G64" s="3">
        <v>62.6</v>
      </c>
      <c r="H64" s="3">
        <v>61.98</v>
      </c>
      <c r="I64" s="3">
        <v>23.93</v>
      </c>
      <c r="J64" s="3">
        <v>30.5</v>
      </c>
      <c r="K64" s="3">
        <v>6.84</v>
      </c>
      <c r="L64" s="3">
        <v>23.66</v>
      </c>
      <c r="M64" s="3">
        <v>20</v>
      </c>
      <c r="N64" s="3">
        <v>0</v>
      </c>
      <c r="O64" s="3">
        <v>5.33</v>
      </c>
      <c r="P64" s="3">
        <v>0.36</v>
      </c>
      <c r="Q64" s="3">
        <v>36</v>
      </c>
      <c r="R64" s="3">
        <v>90</v>
      </c>
      <c r="S64" s="3"/>
      <c r="T64" s="3">
        <v>-0.3</v>
      </c>
      <c r="U64" s="3"/>
      <c r="V64" s="3"/>
      <c r="W64" s="3" t="s">
        <v>38</v>
      </c>
      <c r="X64" s="4">
        <v>46133.666666666664</v>
      </c>
      <c r="Y64" s="5">
        <v>96</v>
      </c>
      <c r="Z64" s="3" t="s">
        <v>239</v>
      </c>
    </row>
    <row r="65" spans="1:26">
      <c r="A65" s="3" t="s">
        <v>271</v>
      </c>
      <c r="B65" s="4">
        <v>46134.333333333336</v>
      </c>
      <c r="C65" s="3">
        <v>999.2</v>
      </c>
      <c r="D65" s="3">
        <v>0.3</v>
      </c>
      <c r="E65" s="3">
        <v>2.86</v>
      </c>
      <c r="F65" s="3">
        <v>0.34</v>
      </c>
      <c r="G65" s="3">
        <v>63.9</v>
      </c>
      <c r="H65" s="3">
        <v>63.44</v>
      </c>
      <c r="I65" s="3">
        <v>22.96</v>
      </c>
      <c r="J65" s="3">
        <v>6.41</v>
      </c>
      <c r="K65" s="3">
        <v>0.36</v>
      </c>
      <c r="L65" s="3">
        <v>6.05</v>
      </c>
      <c r="M65" s="3">
        <v>5</v>
      </c>
      <c r="N65" s="3">
        <v>0</v>
      </c>
      <c r="O65" s="3">
        <v>5.67</v>
      </c>
      <c r="P65" s="3">
        <v>0.37</v>
      </c>
      <c r="Q65" s="3">
        <v>21</v>
      </c>
      <c r="R65" s="3">
        <v>89</v>
      </c>
      <c r="S65" s="3"/>
      <c r="T65" s="3">
        <v>-0.3</v>
      </c>
      <c r="U65" s="3"/>
      <c r="V65" s="3"/>
      <c r="W65" s="3" t="s">
        <v>38</v>
      </c>
      <c r="X65" s="4">
        <v>46134.333333333336</v>
      </c>
      <c r="Y65" s="5">
        <v>112</v>
      </c>
      <c r="Z65" s="3" t="s">
        <v>239</v>
      </c>
    </row>
    <row r="66" spans="1:26">
      <c r="A66" s="3" t="s">
        <v>272</v>
      </c>
      <c r="B66" s="4">
        <v>46134.666666666664</v>
      </c>
      <c r="C66" s="3">
        <v>997.1</v>
      </c>
      <c r="D66" s="3">
        <v>-0.2</v>
      </c>
      <c r="E66" s="3">
        <v>2.86</v>
      </c>
      <c r="F66" s="3">
        <v>0.52</v>
      </c>
      <c r="G66" s="3">
        <v>59.06</v>
      </c>
      <c r="H66" s="3">
        <v>58.06</v>
      </c>
      <c r="I66" s="3">
        <v>23.54</v>
      </c>
      <c r="J66" s="3">
        <v>2.89</v>
      </c>
      <c r="K66" s="3">
        <v>0.05</v>
      </c>
      <c r="L66" s="3">
        <v>2.8400000000000003</v>
      </c>
      <c r="M66" s="3">
        <v>6</v>
      </c>
      <c r="N66" s="3">
        <v>0</v>
      </c>
      <c r="O66" s="3">
        <v>5.48</v>
      </c>
      <c r="P66" s="3">
        <v>0.34</v>
      </c>
      <c r="Q66" s="3">
        <v>20</v>
      </c>
      <c r="R66" s="3">
        <v>87</v>
      </c>
      <c r="S66" s="3"/>
      <c r="T66" s="3">
        <v>-0.3</v>
      </c>
      <c r="U66" s="3"/>
      <c r="V66" s="3"/>
      <c r="W66" s="3" t="s">
        <v>38</v>
      </c>
      <c r="X66" s="4">
        <v>46134.666666666664</v>
      </c>
      <c r="Y66" s="5">
        <v>120</v>
      </c>
      <c r="Z66" s="3" t="s">
        <v>239</v>
      </c>
    </row>
    <row r="67" spans="1:26">
      <c r="A67" s="3" t="s">
        <v>273</v>
      </c>
      <c r="B67" s="4">
        <v>46135.666666666664</v>
      </c>
      <c r="C67" s="3">
        <v>995.4</v>
      </c>
      <c r="D67" s="3">
        <v>-0.6</v>
      </c>
      <c r="E67" s="3">
        <v>2.89</v>
      </c>
      <c r="F67" s="3">
        <v>1.9</v>
      </c>
      <c r="G67" s="3">
        <v>64.44</v>
      </c>
      <c r="H67" s="3">
        <v>63.44</v>
      </c>
      <c r="I67" s="3">
        <v>17.88</v>
      </c>
      <c r="J67" s="3">
        <v>0.03</v>
      </c>
      <c r="K67" s="3">
        <v>0</v>
      </c>
      <c r="L67" s="3">
        <v>0.03</v>
      </c>
      <c r="M67" s="3">
        <v>27</v>
      </c>
      <c r="N67" s="3">
        <v>0</v>
      </c>
      <c r="O67" s="3">
        <v>5.82</v>
      </c>
      <c r="P67" s="3">
        <v>0.35</v>
      </c>
      <c r="Q67" s="3">
        <v>6</v>
      </c>
      <c r="R67" s="3">
        <v>77</v>
      </c>
      <c r="S67" s="3">
        <v>10.74</v>
      </c>
      <c r="T67" s="3">
        <v>10.44</v>
      </c>
      <c r="U67" s="3"/>
      <c r="V67" s="3"/>
      <c r="W67" s="3" t="s">
        <v>38</v>
      </c>
      <c r="X67" s="4">
        <v>46135.666666666664</v>
      </c>
      <c r="Y67" s="5">
        <v>144</v>
      </c>
      <c r="Z67" s="3" t="s">
        <v>239</v>
      </c>
    </row>
    <row r="68" spans="1:26">
      <c r="A68" s="3" t="s">
        <v>274</v>
      </c>
      <c r="B68" s="4">
        <v>46136.333333333336</v>
      </c>
      <c r="C68" s="3">
        <v>994.5</v>
      </c>
      <c r="D68" s="3">
        <v>-0.8</v>
      </c>
      <c r="E68" s="3">
        <v>2.88</v>
      </c>
      <c r="F68" s="3">
        <v>1.71</v>
      </c>
      <c r="G68" s="3"/>
      <c r="H68" s="3"/>
      <c r="I68" s="3"/>
      <c r="J68" s="3">
        <v>0</v>
      </c>
      <c r="K68" s="3">
        <v>0</v>
      </c>
      <c r="L68" s="3">
        <v>0</v>
      </c>
      <c r="M68" s="3">
        <v>15</v>
      </c>
      <c r="N68" s="3">
        <v>0</v>
      </c>
      <c r="O68" s="3">
        <v>5.87</v>
      </c>
      <c r="P68" s="3">
        <v>0.32</v>
      </c>
      <c r="Q68" s="3">
        <v>0</v>
      </c>
      <c r="R68" s="3">
        <v>80</v>
      </c>
      <c r="S68" s="3">
        <v>10.68</v>
      </c>
      <c r="T68" s="3">
        <v>10.379999999999999</v>
      </c>
      <c r="U68" s="3"/>
      <c r="V68" s="3"/>
      <c r="W68" s="3" t="s">
        <v>38</v>
      </c>
      <c r="X68" s="4">
        <v>46136.333333333336</v>
      </c>
      <c r="Y68" s="5">
        <v>160</v>
      </c>
      <c r="Z68" s="3" t="s">
        <v>239</v>
      </c>
    </row>
    <row r="69" spans="1:26">
      <c r="A69" s="3" t="s">
        <v>275</v>
      </c>
      <c r="B69" s="4">
        <v>46129.666666666664</v>
      </c>
      <c r="C69" s="3"/>
      <c r="D69" s="3"/>
      <c r="E69" s="3">
        <v>3.07</v>
      </c>
      <c r="F69" s="3">
        <v>1.65</v>
      </c>
      <c r="G69" s="3">
        <v>12.04</v>
      </c>
      <c r="H69" s="3">
        <v>12.01</v>
      </c>
      <c r="I69" s="3">
        <v>15.94</v>
      </c>
      <c r="J69" s="3">
        <v>152.43</v>
      </c>
      <c r="K69" s="3">
        <v>75.75</v>
      </c>
      <c r="L69" s="3">
        <v>76.680000000000007</v>
      </c>
      <c r="M69" s="3">
        <v>98</v>
      </c>
      <c r="N69" s="3">
        <v>170</v>
      </c>
      <c r="O69" s="3">
        <v>0.75</v>
      </c>
      <c r="P69" s="3">
        <v>0.09</v>
      </c>
      <c r="Q69" s="3">
        <v>0</v>
      </c>
      <c r="R69" s="3">
        <v>0</v>
      </c>
      <c r="S69" s="3">
        <v>1.53</v>
      </c>
      <c r="T69" s="3">
        <v>1.23</v>
      </c>
      <c r="U69" s="3"/>
      <c r="V69" s="3"/>
      <c r="W69" s="3" t="s">
        <v>39</v>
      </c>
      <c r="X69" s="4">
        <v>46129.666666666664</v>
      </c>
      <c r="Y69" s="5">
        <v>0</v>
      </c>
      <c r="Z69" s="3" t="s">
        <v>239</v>
      </c>
    </row>
    <row r="70" spans="1:26">
      <c r="A70" s="3" t="s">
        <v>277</v>
      </c>
      <c r="B70" s="4">
        <v>46130.333333333336</v>
      </c>
      <c r="C70" s="3">
        <v>1062.3</v>
      </c>
      <c r="D70" s="3">
        <v>15.8</v>
      </c>
      <c r="E70" s="3">
        <v>2.97</v>
      </c>
      <c r="F70" s="3">
        <v>0.8</v>
      </c>
      <c r="G70" s="3">
        <v>29.53</v>
      </c>
      <c r="H70" s="3">
        <v>29.22</v>
      </c>
      <c r="I70" s="3">
        <v>32.380000000000003</v>
      </c>
      <c r="J70" s="3">
        <v>139.66</v>
      </c>
      <c r="K70" s="3">
        <v>67.56</v>
      </c>
      <c r="L70" s="3">
        <v>72.099999999999994</v>
      </c>
      <c r="M70" s="3">
        <v>67</v>
      </c>
      <c r="N70" s="3">
        <v>122</v>
      </c>
      <c r="O70" s="3">
        <v>1.84</v>
      </c>
      <c r="P70" s="3">
        <v>0.2</v>
      </c>
      <c r="Q70" s="3">
        <v>26</v>
      </c>
      <c r="R70" s="3">
        <v>106</v>
      </c>
      <c r="S70" s="3"/>
      <c r="T70" s="3">
        <v>-0.3</v>
      </c>
      <c r="U70" s="3"/>
      <c r="V70" s="3"/>
      <c r="W70" s="3" t="s">
        <v>39</v>
      </c>
      <c r="X70" s="4">
        <v>46130.333333333336</v>
      </c>
      <c r="Y70" s="5">
        <v>16</v>
      </c>
      <c r="Z70" s="3" t="s">
        <v>239</v>
      </c>
    </row>
    <row r="71" spans="1:26">
      <c r="A71" s="3" t="s">
        <v>278</v>
      </c>
      <c r="B71" s="4">
        <v>46130.666666666664</v>
      </c>
      <c r="C71" s="3">
        <v>1059.9000000000001</v>
      </c>
      <c r="D71" s="3">
        <v>15.1</v>
      </c>
      <c r="E71" s="3">
        <v>2.96</v>
      </c>
      <c r="F71" s="3">
        <v>0.88</v>
      </c>
      <c r="G71" s="3">
        <v>27.84</v>
      </c>
      <c r="H71" s="3">
        <v>27.76</v>
      </c>
      <c r="I71" s="3">
        <v>31.86</v>
      </c>
      <c r="J71" s="3">
        <v>141.38</v>
      </c>
      <c r="K71" s="3">
        <v>66.45</v>
      </c>
      <c r="L71" s="3">
        <v>74.929999999999993</v>
      </c>
      <c r="M71" s="3">
        <v>57</v>
      </c>
      <c r="N71" s="3">
        <v>111</v>
      </c>
      <c r="O71" s="3">
        <v>1.79</v>
      </c>
      <c r="P71" s="3">
        <v>0.17</v>
      </c>
      <c r="Q71" s="3">
        <v>32</v>
      </c>
      <c r="R71" s="3">
        <v>96</v>
      </c>
      <c r="S71" s="3"/>
      <c r="T71" s="3">
        <v>-0.3</v>
      </c>
      <c r="U71" s="3"/>
      <c r="V71" s="3"/>
      <c r="W71" s="3" t="s">
        <v>39</v>
      </c>
      <c r="X71" s="4">
        <v>46130.666666666664</v>
      </c>
      <c r="Y71" s="5">
        <v>24</v>
      </c>
      <c r="Z71" s="3" t="s">
        <v>239</v>
      </c>
    </row>
    <row r="72" spans="1:26">
      <c r="A72" s="3" t="s">
        <v>279</v>
      </c>
      <c r="B72" s="4">
        <v>46131.333333333336</v>
      </c>
      <c r="C72" s="3">
        <v>1041.2</v>
      </c>
      <c r="D72" s="3">
        <v>10.7</v>
      </c>
      <c r="E72" s="3">
        <v>2.8</v>
      </c>
      <c r="F72" s="3">
        <v>0.6</v>
      </c>
      <c r="G72" s="3">
        <v>52.42</v>
      </c>
      <c r="H72" s="3">
        <v>52.27</v>
      </c>
      <c r="I72" s="3">
        <v>19.34</v>
      </c>
      <c r="J72" s="3">
        <v>99.28</v>
      </c>
      <c r="K72" s="3">
        <v>43.64</v>
      </c>
      <c r="L72" s="3">
        <v>55.64</v>
      </c>
      <c r="M72" s="3">
        <v>21</v>
      </c>
      <c r="N72" s="3">
        <v>0</v>
      </c>
      <c r="O72" s="3">
        <v>4.13</v>
      </c>
      <c r="P72" s="3">
        <v>0.25</v>
      </c>
      <c r="Q72" s="3">
        <v>40</v>
      </c>
      <c r="R72" s="3">
        <v>108</v>
      </c>
      <c r="S72" s="3"/>
      <c r="T72" s="3">
        <v>-0.3</v>
      </c>
      <c r="U72" s="3"/>
      <c r="V72" s="3"/>
      <c r="W72" s="3" t="s">
        <v>39</v>
      </c>
      <c r="X72" s="4">
        <v>46131.333333333336</v>
      </c>
      <c r="Y72" s="5">
        <v>40</v>
      </c>
      <c r="Z72" s="3" t="s">
        <v>239</v>
      </c>
    </row>
    <row r="73" spans="1:26">
      <c r="A73" s="3" t="s">
        <v>280</v>
      </c>
      <c r="B73" s="4">
        <v>46131.666666666664</v>
      </c>
      <c r="C73" s="3">
        <v>1036</v>
      </c>
      <c r="D73" s="3">
        <v>9.6</v>
      </c>
      <c r="E73" s="3">
        <v>2.84</v>
      </c>
      <c r="F73" s="3">
        <v>0.3</v>
      </c>
      <c r="G73" s="3">
        <v>57.3</v>
      </c>
      <c r="H73" s="3">
        <v>57.3</v>
      </c>
      <c r="I73" s="3">
        <v>23.46</v>
      </c>
      <c r="J73" s="3">
        <v>74.430000000000007</v>
      </c>
      <c r="K73" s="3">
        <v>31.9</v>
      </c>
      <c r="L73" s="3">
        <v>42.530000000000008</v>
      </c>
      <c r="M73" s="3">
        <v>33</v>
      </c>
      <c r="N73" s="3">
        <v>46</v>
      </c>
      <c r="O73" s="3">
        <v>4.07</v>
      </c>
      <c r="P73" s="3">
        <v>0.23</v>
      </c>
      <c r="Q73" s="3">
        <v>32</v>
      </c>
      <c r="R73" s="3">
        <v>123</v>
      </c>
      <c r="S73" s="3">
        <v>5.24</v>
      </c>
      <c r="T73" s="3">
        <v>4.9400000000000004</v>
      </c>
      <c r="U73" s="3"/>
      <c r="V73" s="3"/>
      <c r="W73" s="3" t="s">
        <v>39</v>
      </c>
      <c r="X73" s="4">
        <v>46131.666666666664</v>
      </c>
      <c r="Y73" s="5">
        <v>48</v>
      </c>
      <c r="Z73" s="3" t="s">
        <v>239</v>
      </c>
    </row>
    <row r="74" spans="1:26">
      <c r="A74" s="3" t="s">
        <v>281</v>
      </c>
      <c r="B74" s="4">
        <v>46132.333333333336</v>
      </c>
      <c r="C74" s="3">
        <v>1018.5</v>
      </c>
      <c r="D74" s="3">
        <v>5.2</v>
      </c>
      <c r="E74" s="3">
        <v>2.81</v>
      </c>
      <c r="F74" s="3">
        <v>0.34</v>
      </c>
      <c r="G74" s="3">
        <v>65.06</v>
      </c>
      <c r="H74" s="3">
        <v>64.290000000000006</v>
      </c>
      <c r="I74" s="3">
        <v>22.43</v>
      </c>
      <c r="J74" s="3">
        <v>45.91</v>
      </c>
      <c r="K74" s="3">
        <v>12.94</v>
      </c>
      <c r="L74" s="3">
        <v>32.97</v>
      </c>
      <c r="M74" s="3">
        <v>19</v>
      </c>
      <c r="N74" s="3">
        <v>0</v>
      </c>
      <c r="O74" s="3">
        <v>5</v>
      </c>
      <c r="P74" s="3">
        <v>0.41</v>
      </c>
      <c r="Q74" s="3">
        <v>39</v>
      </c>
      <c r="R74" s="3">
        <v>99</v>
      </c>
      <c r="S74" s="3">
        <v>7.58</v>
      </c>
      <c r="T74" s="3">
        <v>7.28</v>
      </c>
      <c r="U74" s="3"/>
      <c r="V74" s="3"/>
      <c r="W74" s="3" t="s">
        <v>39</v>
      </c>
      <c r="X74" s="4">
        <v>46132.333333333336</v>
      </c>
      <c r="Y74" s="5">
        <v>64</v>
      </c>
      <c r="Z74" s="3" t="s">
        <v>239</v>
      </c>
    </row>
    <row r="75" spans="1:26">
      <c r="A75" s="3" t="s">
        <v>282</v>
      </c>
      <c r="B75" s="4">
        <v>46132.666666666664</v>
      </c>
      <c r="C75" s="3">
        <v>1012.2</v>
      </c>
      <c r="D75" s="3">
        <v>3.7</v>
      </c>
      <c r="E75" s="3">
        <v>2.81</v>
      </c>
      <c r="F75" s="3">
        <v>0.56999999999999995</v>
      </c>
      <c r="G75" s="3">
        <v>60.68</v>
      </c>
      <c r="H75" s="3">
        <v>60.6</v>
      </c>
      <c r="I75" s="3">
        <v>22.66</v>
      </c>
      <c r="J75" s="3">
        <v>43.97</v>
      </c>
      <c r="K75" s="3">
        <v>9.42</v>
      </c>
      <c r="L75" s="3">
        <v>34.549999999999997</v>
      </c>
      <c r="M75" s="3">
        <v>17</v>
      </c>
      <c r="N75" s="3">
        <v>0</v>
      </c>
      <c r="O75" s="3">
        <v>4.38</v>
      </c>
      <c r="P75" s="3">
        <v>0.36</v>
      </c>
      <c r="Q75" s="3">
        <v>31</v>
      </c>
      <c r="R75" s="3">
        <v>103</v>
      </c>
      <c r="S75" s="3"/>
      <c r="T75" s="3">
        <v>-0.3</v>
      </c>
      <c r="U75" s="3"/>
      <c r="V75" s="3"/>
      <c r="W75" s="3" t="s">
        <v>39</v>
      </c>
      <c r="X75" s="4">
        <v>46132.666666666664</v>
      </c>
      <c r="Y75" s="5">
        <v>72</v>
      </c>
      <c r="Z75" s="3" t="s">
        <v>239</v>
      </c>
    </row>
    <row r="76" spans="1:26">
      <c r="A76" s="3" t="s">
        <v>283</v>
      </c>
      <c r="B76" s="4">
        <v>46133.333333333336</v>
      </c>
      <c r="C76" s="3">
        <v>1006.2</v>
      </c>
      <c r="D76" s="3">
        <v>2</v>
      </c>
      <c r="E76" s="3">
        <v>2.82</v>
      </c>
      <c r="F76" s="3">
        <v>0.43</v>
      </c>
      <c r="G76" s="3">
        <v>59.52</v>
      </c>
      <c r="H76" s="3">
        <v>59.06</v>
      </c>
      <c r="I76" s="3">
        <v>19.350000000000001</v>
      </c>
      <c r="J76" s="3">
        <v>18.7</v>
      </c>
      <c r="K76" s="3">
        <v>4.38</v>
      </c>
      <c r="L76" s="3">
        <v>14.32</v>
      </c>
      <c r="M76" s="3">
        <v>17</v>
      </c>
      <c r="N76" s="3">
        <v>0</v>
      </c>
      <c r="O76" s="3">
        <v>5.59</v>
      </c>
      <c r="P76" s="3">
        <v>0.36</v>
      </c>
      <c r="Q76" s="3">
        <v>31</v>
      </c>
      <c r="R76" s="3">
        <v>82</v>
      </c>
      <c r="S76" s="3"/>
      <c r="T76" s="3">
        <v>-0.3</v>
      </c>
      <c r="U76" s="3"/>
      <c r="V76" s="3"/>
      <c r="W76" s="3" t="s">
        <v>39</v>
      </c>
      <c r="X76" s="4">
        <v>46133.333333333336</v>
      </c>
      <c r="Y76" s="5">
        <v>88</v>
      </c>
      <c r="Z76" s="3" t="s">
        <v>239</v>
      </c>
    </row>
    <row r="77" spans="1:26">
      <c r="A77" s="3" t="s">
        <v>284</v>
      </c>
      <c r="B77" s="4">
        <v>46133.666666666664</v>
      </c>
      <c r="C77" s="3">
        <v>1002.8</v>
      </c>
      <c r="D77" s="3">
        <v>1.2</v>
      </c>
      <c r="E77" s="3">
        <v>2.83</v>
      </c>
      <c r="F77" s="3">
        <v>0.44</v>
      </c>
      <c r="G77" s="3">
        <v>60.83</v>
      </c>
      <c r="H77" s="3">
        <v>59.75</v>
      </c>
      <c r="I77" s="3">
        <v>17.05</v>
      </c>
      <c r="J77" s="3">
        <v>16.39</v>
      </c>
      <c r="K77" s="3">
        <v>2.69</v>
      </c>
      <c r="L77" s="3">
        <v>13.700000000000001</v>
      </c>
      <c r="M77" s="3">
        <v>19</v>
      </c>
      <c r="N77" s="3">
        <v>0</v>
      </c>
      <c r="O77" s="3">
        <v>6.58</v>
      </c>
      <c r="P77" s="3">
        <v>0.35</v>
      </c>
      <c r="Q77" s="3">
        <v>28</v>
      </c>
      <c r="R77" s="3">
        <v>90</v>
      </c>
      <c r="S77" s="3"/>
      <c r="T77" s="3">
        <v>-0.3</v>
      </c>
      <c r="U77" s="3"/>
      <c r="V77" s="3"/>
      <c r="W77" s="3" t="s">
        <v>39</v>
      </c>
      <c r="X77" s="4">
        <v>46133.666666666664</v>
      </c>
      <c r="Y77" s="5">
        <v>96</v>
      </c>
      <c r="Z77" s="3" t="s">
        <v>239</v>
      </c>
    </row>
    <row r="78" spans="1:26">
      <c r="A78" s="3" t="s">
        <v>286</v>
      </c>
      <c r="B78" s="4">
        <v>46134.666666666664</v>
      </c>
      <c r="C78" s="3">
        <v>997.5</v>
      </c>
      <c r="D78" s="3">
        <v>-0.2</v>
      </c>
      <c r="E78" s="3">
        <v>2.86</v>
      </c>
      <c r="F78" s="3">
        <v>0.65</v>
      </c>
      <c r="G78" s="3">
        <v>62.83</v>
      </c>
      <c r="H78" s="3">
        <v>62.44</v>
      </c>
      <c r="I78" s="3">
        <v>24.69</v>
      </c>
      <c r="J78" s="3">
        <v>3.4</v>
      </c>
      <c r="K78" s="3">
        <v>0.08</v>
      </c>
      <c r="L78" s="3">
        <v>3.32</v>
      </c>
      <c r="M78" s="3">
        <v>5</v>
      </c>
      <c r="N78" s="3">
        <v>0</v>
      </c>
      <c r="O78" s="3">
        <v>5.95</v>
      </c>
      <c r="P78" s="3">
        <v>0.35</v>
      </c>
      <c r="Q78" s="3">
        <v>16</v>
      </c>
      <c r="R78" s="3">
        <v>80</v>
      </c>
      <c r="S78" s="3"/>
      <c r="T78" s="3">
        <v>-0.3</v>
      </c>
      <c r="U78" s="3"/>
      <c r="V78" s="3"/>
      <c r="W78" s="3" t="s">
        <v>39</v>
      </c>
      <c r="X78" s="4">
        <v>46134.666666666664</v>
      </c>
      <c r="Y78" s="5">
        <v>120</v>
      </c>
      <c r="Z78" s="3" t="s">
        <v>239</v>
      </c>
    </row>
    <row r="79" spans="1:26">
      <c r="A79" s="3" t="s">
        <v>287</v>
      </c>
      <c r="B79" s="4">
        <v>46135.666666666664</v>
      </c>
      <c r="C79" s="3">
        <v>995.8</v>
      </c>
      <c r="D79" s="3">
        <v>-0.5</v>
      </c>
      <c r="E79" s="3">
        <v>2.86</v>
      </c>
      <c r="F79" s="3">
        <v>1.9</v>
      </c>
      <c r="G79" s="3">
        <v>58.99</v>
      </c>
      <c r="H79" s="3">
        <v>57.3</v>
      </c>
      <c r="I79" s="3">
        <v>19.010000000000002</v>
      </c>
      <c r="J79" s="3">
        <v>0.2</v>
      </c>
      <c r="K79" s="3">
        <v>0</v>
      </c>
      <c r="L79" s="3">
        <v>0.2</v>
      </c>
      <c r="M79" s="3">
        <v>25</v>
      </c>
      <c r="N79" s="3">
        <v>0</v>
      </c>
      <c r="O79" s="3">
        <v>5.63</v>
      </c>
      <c r="P79" s="3">
        <v>0.3</v>
      </c>
      <c r="Q79" s="3">
        <v>7</v>
      </c>
      <c r="R79" s="3">
        <v>76</v>
      </c>
      <c r="S79" s="3">
        <v>10.23</v>
      </c>
      <c r="T79" s="3">
        <v>9.93</v>
      </c>
      <c r="U79" s="3"/>
      <c r="V79" s="3"/>
      <c r="W79" s="3" t="s">
        <v>39</v>
      </c>
      <c r="X79" s="4">
        <v>46135.666666666664</v>
      </c>
      <c r="Y79" s="5">
        <v>144</v>
      </c>
      <c r="Z79" s="3" t="s">
        <v>239</v>
      </c>
    </row>
    <row r="80" spans="1:26">
      <c r="A80" s="3" t="s">
        <v>288</v>
      </c>
      <c r="B80" s="4">
        <v>46136.333333333336</v>
      </c>
      <c r="C80" s="3">
        <v>995.8</v>
      </c>
      <c r="D80" s="3">
        <v>-0.6</v>
      </c>
      <c r="E80" s="3">
        <v>2.86</v>
      </c>
      <c r="F80" s="3">
        <v>1.83</v>
      </c>
      <c r="G80" s="3"/>
      <c r="H80" s="3"/>
      <c r="I80" s="3"/>
      <c r="J80" s="3">
        <v>0.02</v>
      </c>
      <c r="K80" s="3">
        <v>0</v>
      </c>
      <c r="L80" s="3">
        <v>0.02</v>
      </c>
      <c r="M80" s="3">
        <v>0</v>
      </c>
      <c r="N80" s="3">
        <v>0</v>
      </c>
      <c r="O80" s="3">
        <v>5.81</v>
      </c>
      <c r="P80" s="3">
        <v>0.34</v>
      </c>
      <c r="Q80" s="3">
        <v>5</v>
      </c>
      <c r="R80" s="3">
        <v>79</v>
      </c>
      <c r="S80" s="3">
        <v>10.55</v>
      </c>
      <c r="T80" s="3">
        <v>10.25</v>
      </c>
      <c r="U80" s="3"/>
      <c r="V80" s="3"/>
      <c r="W80" s="3" t="s">
        <v>39</v>
      </c>
      <c r="X80" s="4">
        <v>46136.333333333336</v>
      </c>
      <c r="Y80" s="5">
        <v>160</v>
      </c>
      <c r="Z80" s="3" t="s">
        <v>239</v>
      </c>
    </row>
    <row r="81" spans="1:26">
      <c r="A81" s="3" t="s">
        <v>289</v>
      </c>
      <c r="B81" s="4" t="s">
        <v>291</v>
      </c>
      <c r="C81" s="3">
        <v>1067.4000000000001</v>
      </c>
      <c r="D81" s="3">
        <v>17</v>
      </c>
      <c r="E81" s="3">
        <v>3.15</v>
      </c>
      <c r="F81" s="3">
        <v>10.71</v>
      </c>
      <c r="G81" s="3">
        <v>35.79</v>
      </c>
      <c r="H81" s="3">
        <v>32.03</v>
      </c>
      <c r="I81" s="3">
        <v>13.52</v>
      </c>
      <c r="J81" s="3">
        <v>155.54</v>
      </c>
      <c r="K81" s="3">
        <v>78.489999999999995</v>
      </c>
      <c r="L81" s="3">
        <v>77.05</v>
      </c>
      <c r="M81" s="3">
        <v>115</v>
      </c>
      <c r="N81" s="3">
        <v>135</v>
      </c>
      <c r="O81" s="3">
        <v>1.25</v>
      </c>
      <c r="P81" s="3">
        <v>0.18</v>
      </c>
      <c r="Q81" s="3">
        <v>0</v>
      </c>
      <c r="R81" s="3"/>
      <c r="S81" s="3"/>
      <c r="T81" s="3"/>
      <c r="U81" s="3"/>
      <c r="V81" s="3"/>
      <c r="W81" s="3" t="s">
        <v>40</v>
      </c>
      <c r="X81" s="4">
        <v>46154.625</v>
      </c>
      <c r="Y81" s="5">
        <v>5</v>
      </c>
      <c r="Z81" s="3" t="s">
        <v>187</v>
      </c>
    </row>
    <row r="82" spans="1:26">
      <c r="A82" s="3" t="s">
        <v>300</v>
      </c>
      <c r="B82" s="4">
        <v>46155.416666666664</v>
      </c>
      <c r="C82" s="3">
        <v>1067.5999999999999</v>
      </c>
      <c r="D82" s="3">
        <v>16.899999999999999</v>
      </c>
      <c r="E82" s="3">
        <v>3.13</v>
      </c>
      <c r="F82" s="3">
        <v>1.44</v>
      </c>
      <c r="G82" s="3">
        <v>32.33</v>
      </c>
      <c r="H82" s="3">
        <v>31.64</v>
      </c>
      <c r="I82" s="3">
        <v>20.9</v>
      </c>
      <c r="J82" s="3"/>
      <c r="K82" s="3"/>
      <c r="L82" s="3"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 t="s">
        <v>40</v>
      </c>
      <c r="X82" s="4">
        <v>46155.416666666664</v>
      </c>
      <c r="Y82" s="5">
        <v>24</v>
      </c>
      <c r="Z82" s="3" t="s">
        <v>239</v>
      </c>
    </row>
    <row r="83" spans="1:26">
      <c r="A83" s="3" t="s">
        <v>302</v>
      </c>
      <c r="B83" s="4" t="s">
        <v>303</v>
      </c>
      <c r="C83" s="3">
        <v>1066.5</v>
      </c>
      <c r="D83" s="3">
        <v>16.7</v>
      </c>
      <c r="E83" s="3">
        <v>3.1</v>
      </c>
      <c r="F83" s="3">
        <v>1.76</v>
      </c>
      <c r="G83" s="3">
        <v>43.32</v>
      </c>
      <c r="H83" s="3">
        <v>42.63</v>
      </c>
      <c r="I83" s="3">
        <v>18.62</v>
      </c>
      <c r="J83" s="3"/>
      <c r="K83" s="3"/>
      <c r="L83" s="3">
        <v>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 t="s">
        <v>40</v>
      </c>
      <c r="X83" s="4">
        <v>46155.625</v>
      </c>
      <c r="Y83" s="5">
        <v>29</v>
      </c>
      <c r="Z83" s="3" t="s">
        <v>187</v>
      </c>
    </row>
    <row r="84" spans="1:26">
      <c r="A84" s="3" t="s">
        <v>304</v>
      </c>
      <c r="B84" s="4">
        <v>46156.416666666664</v>
      </c>
      <c r="C84" s="3">
        <v>1065.3</v>
      </c>
      <c r="D84" s="3">
        <v>16.399999999999999</v>
      </c>
      <c r="E84" s="3">
        <v>3.09</v>
      </c>
      <c r="F84" s="3">
        <v>1.1599999999999999</v>
      </c>
      <c r="G84" s="3">
        <v>26.23</v>
      </c>
      <c r="H84" s="3">
        <v>26.15</v>
      </c>
      <c r="I84" s="3">
        <v>28.4</v>
      </c>
      <c r="J84" s="3"/>
      <c r="K84" s="3"/>
      <c r="L84" s="3">
        <v>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 t="s">
        <v>40</v>
      </c>
      <c r="X84" s="4">
        <v>46156.416666666664</v>
      </c>
      <c r="Y84" s="5">
        <v>48</v>
      </c>
      <c r="Z84" s="3" t="s">
        <v>239</v>
      </c>
    </row>
    <row r="85" spans="1:26">
      <c r="A85" s="3" t="s">
        <v>305</v>
      </c>
      <c r="B85" s="4">
        <v>46157.416666666664</v>
      </c>
      <c r="C85" s="3">
        <v>1060.8</v>
      </c>
      <c r="D85" s="3">
        <v>15.2</v>
      </c>
      <c r="E85" s="3">
        <v>3.07</v>
      </c>
      <c r="F85" s="3">
        <v>0.77</v>
      </c>
      <c r="G85" s="3">
        <v>40.25</v>
      </c>
      <c r="H85" s="3">
        <v>39.479999999999997</v>
      </c>
      <c r="I85" s="3">
        <v>24.43</v>
      </c>
      <c r="J85" s="3">
        <v>141.54</v>
      </c>
      <c r="K85" s="3">
        <v>59.59</v>
      </c>
      <c r="L85" s="3">
        <v>81.949999999999989</v>
      </c>
      <c r="M85" s="3">
        <v>77</v>
      </c>
      <c r="N85" s="3">
        <v>91</v>
      </c>
      <c r="O85" s="3">
        <v>2.0499999999999998</v>
      </c>
      <c r="P85" s="3">
        <v>0.23</v>
      </c>
      <c r="Q85" s="3">
        <v>28</v>
      </c>
      <c r="R85" s="3"/>
      <c r="S85" s="3"/>
      <c r="T85" s="3"/>
      <c r="U85" s="3"/>
      <c r="V85" s="3"/>
      <c r="W85" s="3" t="s">
        <v>40</v>
      </c>
      <c r="X85" s="4">
        <v>46157.416666666664</v>
      </c>
      <c r="Y85" s="5">
        <v>72</v>
      </c>
      <c r="Z85" s="3" t="s">
        <v>239</v>
      </c>
    </row>
    <row r="86" spans="1:26">
      <c r="A86" s="3" t="s">
        <v>307</v>
      </c>
      <c r="B86" s="4" t="s">
        <v>308</v>
      </c>
      <c r="C86" s="3">
        <v>1065.2</v>
      </c>
      <c r="D86" s="3">
        <v>16.3</v>
      </c>
      <c r="E86" s="3">
        <v>3.11</v>
      </c>
      <c r="F86" s="3">
        <v>1.75</v>
      </c>
      <c r="G86" s="3">
        <v>31.49</v>
      </c>
      <c r="H86" s="3">
        <v>31.26</v>
      </c>
      <c r="I86" s="3">
        <v>23.66</v>
      </c>
      <c r="J86" s="3"/>
      <c r="K86" s="3"/>
      <c r="L86" s="3"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 t="s">
        <v>40</v>
      </c>
      <c r="X86" s="4">
        <v>46157.625</v>
      </c>
      <c r="Y86" s="5">
        <v>77</v>
      </c>
      <c r="Z86" s="3" t="s">
        <v>187</v>
      </c>
    </row>
    <row r="87" spans="1:26">
      <c r="A87" s="3" t="s">
        <v>311</v>
      </c>
      <c r="B87" s="4">
        <v>46160.416666666664</v>
      </c>
      <c r="C87" s="3">
        <v>1015.1</v>
      </c>
      <c r="D87" s="3">
        <v>4.4000000000000004</v>
      </c>
      <c r="E87" s="3">
        <v>2.99</v>
      </c>
      <c r="F87" s="3">
        <v>0.55000000000000004</v>
      </c>
      <c r="G87" s="3">
        <v>111.83</v>
      </c>
      <c r="H87" s="3">
        <v>111.21</v>
      </c>
      <c r="I87" s="3">
        <v>20.88</v>
      </c>
      <c r="J87" s="3"/>
      <c r="K87" s="3"/>
      <c r="L87" s="3"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 t="s">
        <v>40</v>
      </c>
      <c r="X87" s="4">
        <v>46160.416666666664</v>
      </c>
      <c r="Y87" s="5">
        <v>144</v>
      </c>
      <c r="Z87" s="3" t="s">
        <v>239</v>
      </c>
    </row>
    <row r="88" spans="1:26">
      <c r="A88" s="3" t="s">
        <v>314</v>
      </c>
      <c r="B88" s="4">
        <v>46161.416666666664</v>
      </c>
      <c r="C88" s="3">
        <v>1004.7</v>
      </c>
      <c r="D88" s="3">
        <v>1.6</v>
      </c>
      <c r="E88" s="3">
        <v>2.95</v>
      </c>
      <c r="F88" s="3">
        <v>0.88</v>
      </c>
      <c r="G88" s="3">
        <v>86.18</v>
      </c>
      <c r="H88" s="3">
        <v>85.79</v>
      </c>
      <c r="I88" s="3">
        <v>18.36</v>
      </c>
      <c r="J88" s="3">
        <v>15.69</v>
      </c>
      <c r="K88" s="3">
        <v>0.3</v>
      </c>
      <c r="L88" s="3">
        <v>15.389999999999999</v>
      </c>
      <c r="M88" s="3">
        <v>16</v>
      </c>
      <c r="N88" s="3">
        <v>0</v>
      </c>
      <c r="O88" s="3">
        <v>5.49</v>
      </c>
      <c r="P88" s="3">
        <v>0.45</v>
      </c>
      <c r="Q88" s="3">
        <v>40</v>
      </c>
      <c r="R88" s="3"/>
      <c r="S88" s="3"/>
      <c r="T88" s="3"/>
      <c r="U88" s="3"/>
      <c r="V88" s="3"/>
      <c r="W88" s="3" t="s">
        <v>40</v>
      </c>
      <c r="X88" s="4">
        <v>46161.416666666664</v>
      </c>
      <c r="Y88" s="5">
        <v>168</v>
      </c>
      <c r="Z88" s="3" t="s">
        <v>239</v>
      </c>
    </row>
    <row r="89" spans="1:26">
      <c r="A89" s="3" t="s">
        <v>316</v>
      </c>
      <c r="B89" s="4">
        <v>46162.416666666664</v>
      </c>
      <c r="C89" s="3">
        <v>998.3</v>
      </c>
      <c r="D89" s="3">
        <v>0</v>
      </c>
      <c r="E89" s="3">
        <v>2.98</v>
      </c>
      <c r="F89" s="3">
        <v>0.54</v>
      </c>
      <c r="G89" s="3">
        <v>114.36</v>
      </c>
      <c r="H89" s="3">
        <v>114.13</v>
      </c>
      <c r="I89" s="3">
        <v>16.920000000000002</v>
      </c>
      <c r="J89" s="3">
        <v>3.25</v>
      </c>
      <c r="K89" s="3">
        <v>0.25</v>
      </c>
      <c r="L89" s="3">
        <v>3</v>
      </c>
      <c r="M89" s="3">
        <v>20</v>
      </c>
      <c r="N89" s="3">
        <v>0</v>
      </c>
      <c r="O89" s="3">
        <v>5.66</v>
      </c>
      <c r="P89" s="3">
        <v>0.46</v>
      </c>
      <c r="Q89" s="3">
        <v>38</v>
      </c>
      <c r="R89" s="3"/>
      <c r="S89" s="3"/>
      <c r="T89" s="3"/>
      <c r="U89" s="3"/>
      <c r="V89" s="3"/>
      <c r="W89" s="3" t="s">
        <v>40</v>
      </c>
      <c r="X89" s="4">
        <v>46162.416666666664</v>
      </c>
      <c r="Y89" s="5">
        <v>192</v>
      </c>
      <c r="Z89" s="3" t="s">
        <v>239</v>
      </c>
    </row>
    <row r="90" spans="1:26">
      <c r="A90" s="3" t="s">
        <v>318</v>
      </c>
      <c r="B90" s="4" t="s">
        <v>291</v>
      </c>
      <c r="C90" s="3">
        <v>1066.5</v>
      </c>
      <c r="D90" s="3">
        <v>16.8</v>
      </c>
      <c r="E90" s="3">
        <v>3.17</v>
      </c>
      <c r="F90" s="3">
        <v>11.02</v>
      </c>
      <c r="G90" s="3">
        <v>36.79</v>
      </c>
      <c r="H90" s="3">
        <v>35.520000000000003</v>
      </c>
      <c r="I90" s="3">
        <v>10.75</v>
      </c>
      <c r="J90" s="3">
        <v>152.28</v>
      </c>
      <c r="K90" s="3">
        <v>75.61</v>
      </c>
      <c r="L90" s="3">
        <v>76.67</v>
      </c>
      <c r="M90" s="3">
        <v>112</v>
      </c>
      <c r="N90" s="3">
        <v>132</v>
      </c>
      <c r="O90" s="3">
        <v>1.25</v>
      </c>
      <c r="P90" s="3">
        <v>0.17</v>
      </c>
      <c r="Q90" s="3">
        <v>0</v>
      </c>
      <c r="R90" s="3"/>
      <c r="S90" s="3"/>
      <c r="T90" s="3"/>
      <c r="U90" s="3"/>
      <c r="V90" s="3"/>
      <c r="W90" s="3" t="s">
        <v>41</v>
      </c>
      <c r="X90" s="4">
        <v>46154.625</v>
      </c>
      <c r="Y90" s="5">
        <v>5</v>
      </c>
      <c r="Z90" s="3" t="s">
        <v>187</v>
      </c>
    </row>
    <row r="91" spans="1:26">
      <c r="A91" s="3" t="s">
        <v>324</v>
      </c>
      <c r="B91" s="4">
        <v>46155.416666666664</v>
      </c>
      <c r="C91" s="3">
        <v>1067.2</v>
      </c>
      <c r="D91" s="3">
        <v>16.899999999999999</v>
      </c>
      <c r="E91" s="3">
        <v>3.14</v>
      </c>
      <c r="F91" s="3">
        <v>1.39</v>
      </c>
      <c r="G91" s="3">
        <v>25.42</v>
      </c>
      <c r="H91" s="3">
        <v>25.12</v>
      </c>
      <c r="I91" s="3">
        <v>18.43</v>
      </c>
      <c r="J91" s="3">
        <v>156.49</v>
      </c>
      <c r="K91" s="3">
        <v>68.25</v>
      </c>
      <c r="L91" s="3">
        <v>88.240000000000009</v>
      </c>
      <c r="M91" s="3">
        <v>115</v>
      </c>
      <c r="N91" s="3">
        <v>132</v>
      </c>
      <c r="O91" s="3">
        <v>1.32</v>
      </c>
      <c r="P91" s="3">
        <v>0.2</v>
      </c>
      <c r="Q91" s="3">
        <v>4</v>
      </c>
      <c r="R91" s="3"/>
      <c r="S91" s="3"/>
      <c r="T91" s="3"/>
      <c r="U91" s="3"/>
      <c r="V91" s="3"/>
      <c r="W91" s="3" t="s">
        <v>41</v>
      </c>
      <c r="X91" s="4">
        <v>46155.416666666664</v>
      </c>
      <c r="Y91" s="5">
        <v>24</v>
      </c>
      <c r="Z91" s="3" t="s">
        <v>239</v>
      </c>
    </row>
    <row r="92" spans="1:26">
      <c r="A92" s="3" t="s">
        <v>325</v>
      </c>
      <c r="B92" s="4">
        <v>46156.416666666664</v>
      </c>
      <c r="C92" s="3">
        <v>1063.5999999999999</v>
      </c>
      <c r="D92" s="3">
        <v>16</v>
      </c>
      <c r="E92" s="3">
        <v>3.1</v>
      </c>
      <c r="F92" s="3">
        <v>1.76</v>
      </c>
      <c r="G92" s="3">
        <v>32.799999999999997</v>
      </c>
      <c r="H92" s="3">
        <v>32.57</v>
      </c>
      <c r="I92" s="3">
        <v>26.93</v>
      </c>
      <c r="J92" s="3"/>
      <c r="K92" s="3"/>
      <c r="L92" s="3"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 t="s">
        <v>41</v>
      </c>
      <c r="X92" s="4">
        <v>46156.416666666664</v>
      </c>
      <c r="Y92" s="5">
        <v>48</v>
      </c>
      <c r="Z92" s="3" t="s">
        <v>239</v>
      </c>
    </row>
    <row r="93" spans="1:26">
      <c r="A93" s="3" t="s">
        <v>327</v>
      </c>
      <c r="B93" s="4" t="s">
        <v>328</v>
      </c>
      <c r="C93" s="3">
        <v>1065.4000000000001</v>
      </c>
      <c r="D93" s="3">
        <v>16.5</v>
      </c>
      <c r="E93" s="3">
        <v>3.13</v>
      </c>
      <c r="F93" s="3">
        <v>2.72</v>
      </c>
      <c r="G93" s="3">
        <v>25.19</v>
      </c>
      <c r="H93" s="3">
        <v>24.96</v>
      </c>
      <c r="I93" s="3">
        <v>24.7</v>
      </c>
      <c r="J93" s="3"/>
      <c r="K93" s="3"/>
      <c r="L93" s="3"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 t="s">
        <v>41</v>
      </c>
      <c r="X93" s="4">
        <v>46156.625</v>
      </c>
      <c r="Y93" s="5">
        <v>53</v>
      </c>
      <c r="Z93" s="3" t="s">
        <v>187</v>
      </c>
    </row>
    <row r="94" spans="1:26">
      <c r="A94" s="3" t="s">
        <v>330</v>
      </c>
      <c r="B94" s="4" t="s">
        <v>328</v>
      </c>
      <c r="C94" s="3">
        <v>1062.8</v>
      </c>
      <c r="D94" s="3">
        <v>15.9</v>
      </c>
      <c r="E94" s="3">
        <v>3.03</v>
      </c>
      <c r="F94" s="3">
        <v>1.74</v>
      </c>
      <c r="G94" s="3">
        <v>36.14</v>
      </c>
      <c r="H94" s="3">
        <v>35.83</v>
      </c>
      <c r="I94" s="3">
        <v>21.25</v>
      </c>
      <c r="J94" s="3">
        <v>144.38</v>
      </c>
      <c r="K94" s="3">
        <v>62.97</v>
      </c>
      <c r="L94" s="3">
        <v>81.41</v>
      </c>
      <c r="M94" s="3">
        <v>87</v>
      </c>
      <c r="N94" s="3">
        <v>114</v>
      </c>
      <c r="O94" s="3">
        <v>1.92</v>
      </c>
      <c r="P94" s="3">
        <v>0.31</v>
      </c>
      <c r="Q94" s="3">
        <v>43</v>
      </c>
      <c r="R94" s="3"/>
      <c r="S94" s="3"/>
      <c r="T94" s="3"/>
      <c r="U94" s="3"/>
      <c r="V94" s="3"/>
      <c r="W94" s="3" t="s">
        <v>41</v>
      </c>
      <c r="X94" s="4">
        <v>46156.625</v>
      </c>
      <c r="Y94" s="5">
        <v>53</v>
      </c>
      <c r="Z94" s="3" t="s">
        <v>187</v>
      </c>
    </row>
    <row r="95" spans="1:26">
      <c r="A95" s="3" t="s">
        <v>332</v>
      </c>
      <c r="B95" s="4">
        <v>46157.416666666664</v>
      </c>
      <c r="C95" s="3">
        <v>1056.2</v>
      </c>
      <c r="D95" s="3">
        <v>14.3</v>
      </c>
      <c r="E95" s="3">
        <v>3.05</v>
      </c>
      <c r="F95" s="3">
        <v>0.41</v>
      </c>
      <c r="G95" s="3">
        <v>46.24</v>
      </c>
      <c r="H95" s="3">
        <v>45.81</v>
      </c>
      <c r="I95" s="3">
        <v>23.34</v>
      </c>
      <c r="J95" s="3">
        <v>133</v>
      </c>
      <c r="K95" s="3">
        <v>53.99</v>
      </c>
      <c r="L95" s="3">
        <v>79.009999999999991</v>
      </c>
      <c r="M95" s="3">
        <v>63</v>
      </c>
      <c r="N95" s="3">
        <v>67</v>
      </c>
      <c r="O95" s="3">
        <v>2.34</v>
      </c>
      <c r="P95" s="3">
        <v>0.23</v>
      </c>
      <c r="Q95" s="3">
        <v>40</v>
      </c>
      <c r="R95" s="3"/>
      <c r="S95" s="3"/>
      <c r="T95" s="3"/>
      <c r="U95" s="3"/>
      <c r="V95" s="3"/>
      <c r="W95" s="3" t="s">
        <v>41</v>
      </c>
      <c r="X95" s="4">
        <v>46157.416666666664</v>
      </c>
      <c r="Y95" s="5">
        <v>72</v>
      </c>
      <c r="Z95" s="3" t="s">
        <v>239</v>
      </c>
    </row>
    <row r="96" spans="1:26">
      <c r="A96" s="3" t="s">
        <v>335</v>
      </c>
      <c r="B96" s="4">
        <v>46160.416666666664</v>
      </c>
      <c r="C96" s="3">
        <v>997.4</v>
      </c>
      <c r="D96" s="3">
        <v>0</v>
      </c>
      <c r="E96" s="3">
        <v>3.07</v>
      </c>
      <c r="F96" s="3">
        <v>0.91</v>
      </c>
      <c r="G96" s="3">
        <v>83.18</v>
      </c>
      <c r="H96" s="3">
        <v>82.57</v>
      </c>
      <c r="I96" s="3">
        <v>17.73</v>
      </c>
      <c r="J96" s="3"/>
      <c r="K96" s="3"/>
      <c r="L96" s="3">
        <v>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 t="s">
        <v>41</v>
      </c>
      <c r="X96" s="4">
        <v>46160.416666666664</v>
      </c>
      <c r="Y96" s="5">
        <v>144</v>
      </c>
      <c r="Z96" s="3" t="s">
        <v>239</v>
      </c>
    </row>
    <row r="97" spans="1:26">
      <c r="A97" s="3" t="s">
        <v>338</v>
      </c>
      <c r="B97" s="4">
        <v>46161.416666666664</v>
      </c>
      <c r="C97" s="3">
        <v>996.1</v>
      </c>
      <c r="D97" s="3">
        <v>-0.4</v>
      </c>
      <c r="E97" s="3">
        <v>3.1</v>
      </c>
      <c r="F97" s="3">
        <v>1.47</v>
      </c>
      <c r="G97" s="3">
        <v>96.85</v>
      </c>
      <c r="H97" s="3">
        <v>95.7</v>
      </c>
      <c r="I97" s="3">
        <v>15.94</v>
      </c>
      <c r="J97" s="3">
        <v>0.14000000000000001</v>
      </c>
      <c r="K97" s="3">
        <v>0.02</v>
      </c>
      <c r="L97" s="3">
        <v>0.12000000000000001</v>
      </c>
      <c r="M97" s="3">
        <v>24</v>
      </c>
      <c r="N97" s="3">
        <v>2</v>
      </c>
      <c r="O97" s="3">
        <v>5.75</v>
      </c>
      <c r="P97" s="3">
        <v>0.41</v>
      </c>
      <c r="Q97" s="3">
        <v>29</v>
      </c>
      <c r="R97" s="3"/>
      <c r="S97" s="3"/>
      <c r="T97" s="3"/>
      <c r="U97" s="3"/>
      <c r="V97" s="3"/>
      <c r="W97" s="3" t="s">
        <v>41</v>
      </c>
      <c r="X97" s="4">
        <v>46161.416666666664</v>
      </c>
      <c r="Y97" s="5">
        <v>168</v>
      </c>
      <c r="Z97" s="3" t="s">
        <v>239</v>
      </c>
    </row>
    <row r="98" spans="1:26">
      <c r="A98" s="3" t="s">
        <v>339</v>
      </c>
      <c r="B98" s="4" t="s">
        <v>291</v>
      </c>
      <c r="C98" s="3">
        <v>1066.5999999999999</v>
      </c>
      <c r="D98" s="3">
        <v>16.8</v>
      </c>
      <c r="E98" s="3">
        <v>3.15</v>
      </c>
      <c r="F98" s="3">
        <v>11.52</v>
      </c>
      <c r="G98" s="3">
        <v>32.409999999999997</v>
      </c>
      <c r="H98" s="3">
        <v>28.38</v>
      </c>
      <c r="I98" s="3">
        <v>13.98</v>
      </c>
      <c r="J98" s="3">
        <v>154.88</v>
      </c>
      <c r="K98" s="3">
        <v>75</v>
      </c>
      <c r="L98" s="3">
        <v>79.88</v>
      </c>
      <c r="M98" s="3">
        <v>113</v>
      </c>
      <c r="N98" s="3">
        <v>133</v>
      </c>
      <c r="O98" s="3">
        <v>1.27</v>
      </c>
      <c r="P98" s="3">
        <v>0.18</v>
      </c>
      <c r="Q98" s="3">
        <v>0</v>
      </c>
      <c r="R98" s="3"/>
      <c r="S98" s="3"/>
      <c r="T98" s="3"/>
      <c r="U98" s="3"/>
      <c r="V98" s="3"/>
      <c r="W98" s="3" t="s">
        <v>42</v>
      </c>
      <c r="X98" s="4">
        <v>46154.625</v>
      </c>
      <c r="Y98" s="5">
        <v>5</v>
      </c>
      <c r="Z98" s="3" t="s">
        <v>187</v>
      </c>
    </row>
    <row r="99" spans="1:26">
      <c r="A99" s="3" t="s">
        <v>345</v>
      </c>
      <c r="B99" s="4">
        <v>46155.416666666664</v>
      </c>
      <c r="C99" s="3">
        <v>1066.8</v>
      </c>
      <c r="D99" s="3">
        <v>16.7</v>
      </c>
      <c r="E99" s="3">
        <v>3.14</v>
      </c>
      <c r="F99" s="3">
        <v>2.2799999999999998</v>
      </c>
      <c r="G99" s="3">
        <v>32.4</v>
      </c>
      <c r="H99" s="3">
        <v>31.91</v>
      </c>
      <c r="I99" s="3">
        <v>20.04</v>
      </c>
      <c r="J99" s="3"/>
      <c r="K99" s="3"/>
      <c r="L99" s="3">
        <v>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 t="s">
        <v>42</v>
      </c>
      <c r="X99" s="4">
        <v>46155.416666666664</v>
      </c>
      <c r="Y99" s="5">
        <v>24</v>
      </c>
      <c r="Z99" s="3" t="s">
        <v>239</v>
      </c>
    </row>
    <row r="100" spans="1:26">
      <c r="A100" s="3" t="s">
        <v>346</v>
      </c>
      <c r="B100" s="4">
        <v>46156.416666666664</v>
      </c>
      <c r="C100" s="3">
        <v>1065.5999999999999</v>
      </c>
      <c r="D100" s="3">
        <v>16.399999999999999</v>
      </c>
      <c r="E100" s="3">
        <v>3.17</v>
      </c>
      <c r="F100" s="3">
        <v>3.09</v>
      </c>
      <c r="G100" s="3">
        <v>39.94</v>
      </c>
      <c r="H100" s="3">
        <v>39.82</v>
      </c>
      <c r="I100" s="3">
        <v>22.12</v>
      </c>
      <c r="J100" s="3"/>
      <c r="K100" s="3"/>
      <c r="L100" s="3"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 t="s">
        <v>42</v>
      </c>
      <c r="X100" s="4">
        <v>46156.416666666664</v>
      </c>
      <c r="Y100" s="5">
        <v>48</v>
      </c>
      <c r="Z100" s="3" t="s">
        <v>239</v>
      </c>
    </row>
    <row r="101" spans="1:26">
      <c r="A101" s="3" t="s">
        <v>347</v>
      </c>
      <c r="B101" s="4" t="s">
        <v>328</v>
      </c>
      <c r="C101" s="3">
        <v>1065.4000000000001</v>
      </c>
      <c r="D101" s="3">
        <v>16.5</v>
      </c>
      <c r="E101" s="3">
        <v>3.16</v>
      </c>
      <c r="F101" s="3">
        <v>2.0099999999999998</v>
      </c>
      <c r="G101" s="3">
        <v>39.32</v>
      </c>
      <c r="H101" s="3">
        <v>39.130000000000003</v>
      </c>
      <c r="I101" s="3">
        <v>21.68</v>
      </c>
      <c r="J101" s="3">
        <v>144.29</v>
      </c>
      <c r="K101" s="3">
        <v>63.23</v>
      </c>
      <c r="L101" s="3">
        <v>81.06</v>
      </c>
      <c r="M101" s="3">
        <v>166</v>
      </c>
      <c r="N101" s="3">
        <v>136</v>
      </c>
      <c r="O101" s="3">
        <v>1.74</v>
      </c>
      <c r="P101" s="3">
        <v>0.27</v>
      </c>
      <c r="Q101" s="3">
        <v>35</v>
      </c>
      <c r="R101" s="3"/>
      <c r="S101" s="3"/>
      <c r="T101" s="3"/>
      <c r="U101" s="3"/>
      <c r="V101" s="3"/>
      <c r="W101" s="3" t="s">
        <v>42</v>
      </c>
      <c r="X101" s="4">
        <v>46156.625</v>
      </c>
      <c r="Y101" s="5">
        <v>53</v>
      </c>
      <c r="Z101" s="3" t="s">
        <v>187</v>
      </c>
    </row>
    <row r="102" spans="1:26">
      <c r="A102" s="3" t="s">
        <v>348</v>
      </c>
      <c r="B102" s="4">
        <v>46157.416666666664</v>
      </c>
      <c r="C102" s="3">
        <v>1059.2</v>
      </c>
      <c r="D102" s="3">
        <v>15.1</v>
      </c>
      <c r="E102" s="3">
        <v>3.12</v>
      </c>
      <c r="F102" s="3">
        <v>0.36</v>
      </c>
      <c r="G102" s="3">
        <v>50.65</v>
      </c>
      <c r="H102" s="3">
        <v>49.88</v>
      </c>
      <c r="I102" s="3">
        <v>23.88</v>
      </c>
      <c r="J102" s="3">
        <v>133.03</v>
      </c>
      <c r="K102" s="3">
        <v>55.44</v>
      </c>
      <c r="L102" s="3">
        <v>77.59</v>
      </c>
      <c r="M102" s="3">
        <v>153</v>
      </c>
      <c r="N102" s="3">
        <v>99</v>
      </c>
      <c r="O102" s="3">
        <v>2.16</v>
      </c>
      <c r="P102" s="3">
        <v>0.24</v>
      </c>
      <c r="Q102" s="3">
        <v>43</v>
      </c>
      <c r="R102" s="3"/>
      <c r="S102" s="3"/>
      <c r="T102" s="3"/>
      <c r="U102" s="3"/>
      <c r="V102" s="3"/>
      <c r="W102" s="3" t="s">
        <v>42</v>
      </c>
      <c r="X102" s="4">
        <v>46157.416666666664</v>
      </c>
      <c r="Y102" s="5">
        <v>72</v>
      </c>
      <c r="Z102" s="3" t="s">
        <v>239</v>
      </c>
    </row>
    <row r="103" spans="1:26">
      <c r="A103" s="3" t="s">
        <v>350</v>
      </c>
      <c r="B103" s="4" t="s">
        <v>308</v>
      </c>
      <c r="C103" s="3">
        <v>1066.2</v>
      </c>
      <c r="D103" s="3">
        <v>16.7</v>
      </c>
      <c r="E103" s="3">
        <v>3.16</v>
      </c>
      <c r="F103" s="3">
        <v>2.64</v>
      </c>
      <c r="G103" s="3">
        <v>32.950000000000003</v>
      </c>
      <c r="H103" s="3">
        <v>32.6</v>
      </c>
      <c r="I103" s="3">
        <v>19</v>
      </c>
      <c r="J103" s="3"/>
      <c r="K103" s="3"/>
      <c r="L103" s="3">
        <v>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 t="s">
        <v>42</v>
      </c>
      <c r="X103" s="4">
        <v>46157.625</v>
      </c>
      <c r="Y103" s="5">
        <v>77</v>
      </c>
      <c r="Z103" s="3" t="s">
        <v>187</v>
      </c>
    </row>
    <row r="104" spans="1:26">
      <c r="A104" s="3" t="s">
        <v>351</v>
      </c>
      <c r="B104" s="4">
        <v>46160.416666666664</v>
      </c>
      <c r="C104" s="3">
        <v>1001.7</v>
      </c>
      <c r="D104" s="3">
        <v>1.1000000000000001</v>
      </c>
      <c r="E104" s="3">
        <v>3.09</v>
      </c>
      <c r="F104" s="3">
        <v>1.47</v>
      </c>
      <c r="G104" s="3">
        <v>97.77</v>
      </c>
      <c r="H104" s="3">
        <v>97.08</v>
      </c>
      <c r="I104" s="3">
        <v>12.88</v>
      </c>
      <c r="J104" s="3"/>
      <c r="K104" s="3"/>
      <c r="L104" s="3">
        <v>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 t="s">
        <v>42</v>
      </c>
      <c r="X104" s="4">
        <v>46160.416666666664</v>
      </c>
      <c r="Y104" s="5">
        <v>144</v>
      </c>
      <c r="Z104" s="3" t="s">
        <v>239</v>
      </c>
    </row>
    <row r="105" spans="1:26">
      <c r="A105" s="3" t="s">
        <v>354</v>
      </c>
      <c r="B105" s="4">
        <v>46161.416666666664</v>
      </c>
      <c r="C105" s="3">
        <v>997.4</v>
      </c>
      <c r="D105" s="3">
        <v>-0.1</v>
      </c>
      <c r="E105" s="3">
        <v>3.16</v>
      </c>
      <c r="F105" s="3">
        <v>0.7</v>
      </c>
      <c r="G105" s="3">
        <v>103.76</v>
      </c>
      <c r="H105" s="3">
        <v>103.61</v>
      </c>
      <c r="I105" s="3">
        <v>16.21</v>
      </c>
      <c r="J105" s="3">
        <v>0.09</v>
      </c>
      <c r="K105" s="3">
        <v>0</v>
      </c>
      <c r="L105" s="3">
        <v>0.09</v>
      </c>
      <c r="M105" s="3">
        <v>114</v>
      </c>
      <c r="N105" s="3">
        <v>14</v>
      </c>
      <c r="O105" s="3">
        <v>5.68</v>
      </c>
      <c r="P105" s="3">
        <v>0.42</v>
      </c>
      <c r="Q105" s="3">
        <v>32</v>
      </c>
      <c r="R105" s="3"/>
      <c r="S105" s="3"/>
      <c r="T105" s="3"/>
      <c r="U105" s="3"/>
      <c r="V105" s="3"/>
      <c r="W105" s="3" t="s">
        <v>42</v>
      </c>
      <c r="X105" s="4">
        <v>46161.416666666664</v>
      </c>
      <c r="Y105" s="5">
        <v>168</v>
      </c>
      <c r="Z105" s="3" t="s">
        <v>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00_Resumen</vt:lpstr>
      <vt:lpstr>Datos_homologados</vt:lpstr>
      <vt:lpstr>LAB004</vt:lpstr>
      <vt:lpstr>LAB005</vt:lpstr>
      <vt:lpstr>LAB006</vt:lpstr>
      <vt:lpstr>LAB007</vt:lpstr>
      <vt:lpstr>LAB008</vt:lpstr>
      <vt:lpstr>LAB009</vt:lpstr>
      <vt:lpstr>LAB010</vt:lpstr>
      <vt:lpstr>LAB011</vt:lpstr>
      <vt:lpstr>LAB012</vt:lpstr>
      <vt:lpstr>Perfiles_temperatura</vt:lpstr>
      <vt:lpstr>Eventos_operacion</vt:lpstr>
      <vt:lpstr>Maestro_ensayos</vt:lpstr>
      <vt:lpstr>Muestreo_MEF</vt:lpstr>
      <vt:lpstr>Resultados_extendidos</vt:lpstr>
      <vt:lpstr>Aromas_MEF_prep</vt:lpstr>
      <vt:lpstr>Aromas_Cond</vt:lpstr>
      <vt:lpstr>Diccionario_mapeo</vt:lpstr>
      <vt:lpstr>Resultados_primarios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2026-07-27T20:11:34Z</dcterms:modified>
</cp:coreProperties>
</file>