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uestreo" sheetId="2" state="visible" r:id="rId2"/>
    <sheet name="Restricciones" sheetId="3" state="visible" r:id="rId3"/>
  </sheets>
  <definedNames>
    <definedName name="_xlnm._FilterDatabase" localSheetId="0" hidden="1">'Resumen'!$A$1:$K$1</definedName>
    <definedName name="_xlnm._FilterDatabase" localSheetId="1" hidden="1">'Muestreo'!$A$1:$Q$85</definedName>
    <definedName name="_xlnm._FilterDatabase" localSheetId="2" hidden="1">'Restricciones'!$A$1:$E$16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 h:mm:ss"/>
    <numFmt numFmtId="166" formatCode="dd-mm-yyyy"/>
    <numFmt numFmtId="167" formatCode="hh:mm"/>
    <numFmt numFmtId="168" formatCode="dd-mm-yyyy hh:mm"/>
    <numFmt numFmtId="169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  <xf numFmtId="168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18" customWidth="1" min="4" max="4"/>
    <col width="44" customWidth="1" min="5" max="5"/>
    <col width="19" customWidth="1" min="6" max="6"/>
    <col width="18" customWidth="1" min="7" max="7"/>
    <col width="24" customWidth="1" min="8" max="8"/>
    <col width="42" customWidth="1" min="9" max="9"/>
    <col width="16" customWidth="1" min="10" max="10"/>
    <col width="58" customWidth="1" min="11" max="11"/>
  </cols>
  <sheetData>
    <row r="1" ht="34" customHeight="1">
      <c r="A1" s="1" t="inlineStr">
        <is>
          <t>Lote</t>
        </is>
      </c>
      <c r="B1" s="1" t="inlineStr">
        <is>
          <t>Fermentador</t>
        </is>
      </c>
      <c r="C1" s="1" t="inlineStr">
        <is>
          <t>Tratamiento</t>
        </is>
      </c>
      <c r="D1" s="1" t="inlineStr">
        <is>
          <t>Temperatura [°C]</t>
        </is>
      </c>
      <c r="E1" s="1" t="inlineStr">
        <is>
          <t>Nutrición</t>
        </is>
      </c>
      <c r="F1" s="1" t="inlineStr">
        <is>
          <t>Fecha inoculación</t>
        </is>
      </c>
      <c r="G1" s="1" t="inlineStr">
        <is>
          <t>Hora inoculación</t>
        </is>
      </c>
      <c r="H1" s="1" t="inlineStr">
        <is>
          <t>Pulso/pseudo-pulso</t>
        </is>
      </c>
      <c r="I1" s="1" t="inlineStr">
        <is>
          <t>Rol experimental</t>
        </is>
      </c>
      <c r="J1" s="1" t="inlineStr">
        <is>
          <t>Réplica global</t>
        </is>
      </c>
      <c r="K1" s="1" t="inlineStr">
        <is>
          <t>Observaciones</t>
        </is>
      </c>
    </row>
    <row r="2">
      <c r="A2" s="2" t="inlineStr">
        <is>
          <t>Lote 1</t>
        </is>
      </c>
      <c r="B2" s="2" t="inlineStr">
        <is>
          <t>F1</t>
        </is>
      </c>
      <c r="C2" s="2" t="inlineStr">
        <is>
          <t>Control sin nutrición</t>
        </is>
      </c>
      <c r="D2" s="2" t="n">
        <v>20</v>
      </c>
      <c r="E2" s="2" t="inlineStr">
        <is>
          <t>Sin adición; pseudo-pulso temporal, sin producto ni líquido</t>
        </is>
      </c>
      <c r="F2" s="3" t="n">
        <v>46286</v>
      </c>
      <c r="G2" s="4" t="n">
        <v>0.4965277777777778</v>
      </c>
      <c r="H2" s="5" t="n">
        <v>46289.40277777778</v>
      </c>
      <c r="I2" s="2" t="inlineStr">
        <is>
          <t>Tratamiento=factor; lote=bloque; fermentador=unidad experimental</t>
        </is>
      </c>
      <c r="J2" s="2" t="inlineStr">
        <is>
          <t>Control 1</t>
        </is>
      </c>
      <c r="K2" s="2" t="inlineStr">
        <is>
          <t>Asignación contrabalanceada: cada F1/F2/F3 cambia de tratamiento entre lotes. No ejecutar hasta cerrar pendientes.</t>
        </is>
      </c>
    </row>
    <row r="3">
      <c r="A3" s="2" t="inlineStr">
        <is>
          <t>Lote 1</t>
        </is>
      </c>
      <c r="B3" s="2" t="inlineStr">
        <is>
          <t>F2</t>
        </is>
      </c>
      <c r="C3" s="2" t="inlineStr">
        <is>
          <t>Control sin nutrición</t>
        </is>
      </c>
      <c r="D3" s="2" t="n">
        <v>20</v>
      </c>
      <c r="E3" s="2" t="inlineStr">
        <is>
          <t>Sin adición; pseudo-pulso temporal, sin producto ni líquido</t>
        </is>
      </c>
      <c r="F3" s="3" t="n">
        <v>46286</v>
      </c>
      <c r="G3" s="4" t="n">
        <v>0.5138888888888888</v>
      </c>
      <c r="H3" s="5" t="n">
        <v>46289.42013888889</v>
      </c>
      <c r="I3" s="2" t="inlineStr">
        <is>
          <t>Tratamiento=factor; lote=bloque; fermentador=unidad experimental</t>
        </is>
      </c>
      <c r="J3" s="2" t="inlineStr">
        <is>
          <t>Control 2</t>
        </is>
      </c>
      <c r="K3" s="2" t="inlineStr">
        <is>
          <t>Asignación contrabalanceada: cada F1/F2/F3 cambia de tratamiento entre lotes. No ejecutar hasta cerrar pendientes.</t>
        </is>
      </c>
    </row>
    <row r="4">
      <c r="A4" s="2" t="inlineStr">
        <is>
          <t>Lote 1</t>
        </is>
      </c>
      <c r="B4" s="2" t="inlineStr">
        <is>
          <t>F3</t>
        </is>
      </c>
      <c r="C4" s="2" t="inlineStr">
        <is>
          <t>Nutrición conocida y trazable</t>
        </is>
      </c>
      <c r="D4" s="2" t="n">
        <v>20</v>
      </c>
      <c r="E4" s="2" t="inlineStr">
        <is>
          <t>SFX + FDA: formulación, masas y aporte YAN por confirmar antes de ejecutar</t>
        </is>
      </c>
      <c r="F4" s="3" t="n">
        <v>46286</v>
      </c>
      <c r="G4" s="4" t="n">
        <v>0.53125</v>
      </c>
      <c r="H4" s="5" t="n">
        <v>46289.4375</v>
      </c>
      <c r="I4" s="2" t="inlineStr">
        <is>
          <t>Tratamiento=factor; lote=bloque; fermentador=unidad experimental</t>
        </is>
      </c>
      <c r="J4" s="2" t="inlineStr">
        <is>
          <t>Nutrido 1</t>
        </is>
      </c>
      <c r="K4" s="2" t="inlineStr">
        <is>
          <t>Asignación contrabalanceada: cada F1/F2/F3 cambia de tratamiento entre lotes. No ejecutar hasta cerrar pendientes.</t>
        </is>
      </c>
    </row>
    <row r="5">
      <c r="A5" s="2" t="inlineStr">
        <is>
          <t>Lote 2</t>
        </is>
      </c>
      <c r="B5" s="2" t="inlineStr">
        <is>
          <t>F1</t>
        </is>
      </c>
      <c r="C5" s="2" t="inlineStr">
        <is>
          <t>Nutrición conocida y trazable</t>
        </is>
      </c>
      <c r="D5" s="2" t="n">
        <v>20</v>
      </c>
      <c r="E5" s="2" t="inlineStr">
        <is>
          <t>SFX + FDA: formulación, masas y aporte YAN por confirmar antes de ejecutar</t>
        </is>
      </c>
      <c r="F5" s="3" t="n">
        <v>46300</v>
      </c>
      <c r="G5" s="4" t="n">
        <v>0.4965277777777778</v>
      </c>
      <c r="H5" s="5" t="n">
        <v>46303.40277777778</v>
      </c>
      <c r="I5" s="2" t="inlineStr">
        <is>
          <t>Tratamiento=factor; lote=bloque; fermentador=unidad experimental</t>
        </is>
      </c>
      <c r="J5" s="2" t="inlineStr">
        <is>
          <t>Nutrido 2</t>
        </is>
      </c>
      <c r="K5" s="2" t="inlineStr">
        <is>
          <t>Asignación contrabalanceada: cada F1/F2/F3 cambia de tratamiento entre lotes. No ejecutar hasta cerrar pendientes.</t>
        </is>
      </c>
    </row>
    <row r="6">
      <c r="A6" s="2" t="inlineStr">
        <is>
          <t>Lote 2</t>
        </is>
      </c>
      <c r="B6" s="2" t="inlineStr">
        <is>
          <t>F2</t>
        </is>
      </c>
      <c r="C6" s="2" t="inlineStr">
        <is>
          <t>Nutrición conocida y trazable</t>
        </is>
      </c>
      <c r="D6" s="2" t="n">
        <v>20</v>
      </c>
      <c r="E6" s="2" t="inlineStr">
        <is>
          <t>SFX + FDA: formulación, masas y aporte YAN por confirmar antes de ejecutar</t>
        </is>
      </c>
      <c r="F6" s="3" t="n">
        <v>46300</v>
      </c>
      <c r="G6" s="4" t="n">
        <v>0.5138888888888888</v>
      </c>
      <c r="H6" s="5" t="n">
        <v>46303.42013888889</v>
      </c>
      <c r="I6" s="2" t="inlineStr">
        <is>
          <t>Tratamiento=factor; lote=bloque; fermentador=unidad experimental</t>
        </is>
      </c>
      <c r="J6" s="2" t="inlineStr">
        <is>
          <t>Nutrido 3</t>
        </is>
      </c>
      <c r="K6" s="2" t="inlineStr">
        <is>
          <t>Asignación contrabalanceada: cada F1/F2/F3 cambia de tratamiento entre lotes. No ejecutar hasta cerrar pendientes.</t>
        </is>
      </c>
    </row>
    <row r="7">
      <c r="A7" s="2" t="inlineStr">
        <is>
          <t>Lote 2</t>
        </is>
      </c>
      <c r="B7" s="2" t="inlineStr">
        <is>
          <t>F3</t>
        </is>
      </c>
      <c r="C7" s="2" t="inlineStr">
        <is>
          <t>Control sin nutrición</t>
        </is>
      </c>
      <c r="D7" s="2" t="n">
        <v>20</v>
      </c>
      <c r="E7" s="2" t="inlineStr">
        <is>
          <t>Sin adición; pseudo-pulso temporal, sin producto ni líquido</t>
        </is>
      </c>
      <c r="F7" s="3" t="n">
        <v>46300</v>
      </c>
      <c r="G7" s="4" t="n">
        <v>0.53125</v>
      </c>
      <c r="H7" s="5" t="n">
        <v>46303.4375</v>
      </c>
      <c r="I7" s="2" t="inlineStr">
        <is>
          <t>Tratamiento=factor; lote=bloque; fermentador=unidad experimental</t>
        </is>
      </c>
      <c r="J7" s="2" t="inlineStr">
        <is>
          <t>Control 3</t>
        </is>
      </c>
      <c r="K7" s="2" t="inlineStr">
        <is>
          <t>Asignación contrabalanceada: cada F1/F2/F3 cambia de tratamiento entre lotes. No ejecutar hasta cerrar pendientes.</t>
        </is>
      </c>
    </row>
  </sheetData>
  <autoFilter ref="A1: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32" customWidth="1" min="3" max="3"/>
    <col width="20" customWidth="1" min="4" max="4"/>
    <col width="18" customWidth="1" min="5" max="5"/>
    <col width="17" customWidth="1" min="6" max="6"/>
    <col width="17" customWidth="1" min="7" max="7"/>
    <col width="11" customWidth="1" min="8" max="8"/>
    <col width="30" customWidth="1" min="9" max="9"/>
    <col width="54" customWidth="1" min="10" max="10"/>
    <col width="11" customWidth="1" min="11" max="11"/>
    <col width="40" customWidth="1" min="12" max="12"/>
    <col width="20" customWidth="1" min="13" max="13"/>
    <col width="19" customWidth="1" min="14" max="14"/>
    <col width="22" customWidth="1" min="15" max="15"/>
    <col width="42" customWidth="1" min="16" max="16"/>
    <col width="60" customWidth="1" min="17" max="17"/>
  </cols>
  <sheetData>
    <row r="1" ht="34" customHeight="1">
      <c r="A1" s="1" t="inlineStr">
        <is>
          <t>Lote</t>
        </is>
      </c>
      <c r="B1" s="1" t="inlineStr">
        <is>
          <t>Fermentador</t>
        </is>
      </c>
      <c r="C1" s="1" t="inlineStr">
        <is>
          <t>Tratamiento</t>
        </is>
      </c>
      <c r="D1" s="1" t="inlineStr">
        <is>
          <t>Tiempo nominal [h]</t>
        </is>
      </c>
      <c r="E1" s="1" t="inlineStr">
        <is>
          <t>Fecha programada</t>
        </is>
      </c>
      <c r="F1" s="1" t="inlineStr">
        <is>
          <t>Hora programada</t>
        </is>
      </c>
      <c r="G1" s="1" t="inlineStr">
        <is>
          <t>Tiempo real [h]</t>
        </is>
      </c>
      <c r="H1" s="1" t="inlineStr">
        <is>
          <t>Hora real</t>
        </is>
      </c>
      <c r="I1" s="1" t="inlineStr">
        <is>
          <t>Tipo de medición</t>
        </is>
      </c>
      <c r="J1" s="1" t="inlineStr">
        <is>
          <t>Variables</t>
        </is>
      </c>
      <c r="K1" s="1" t="inlineStr">
        <is>
          <t>Prioridad</t>
        </is>
      </c>
      <c r="L1" s="1" t="inlineStr">
        <is>
          <t>Relación con nutrición</t>
        </is>
      </c>
      <c r="M1" s="1" t="inlineStr">
        <is>
          <t>Requiere presencia</t>
        </is>
      </c>
      <c r="N1" s="1" t="inlineStr">
        <is>
          <t>Duración estimada</t>
        </is>
      </c>
      <c r="O1" s="1" t="inlineStr">
        <is>
          <t>Volumen muestra [mL]</t>
        </is>
      </c>
      <c r="P1" s="1" t="inlineStr">
        <is>
          <t>Volumen acumulado [mL]</t>
        </is>
      </c>
      <c r="Q1" s="1" t="inlineStr">
        <is>
          <t>Notas</t>
        </is>
      </c>
    </row>
    <row r="2">
      <c r="A2" s="2" t="inlineStr">
        <is>
          <t>Lote 1</t>
        </is>
      </c>
      <c r="B2" s="2" t="inlineStr">
        <is>
          <t>F1</t>
        </is>
      </c>
      <c r="C2" s="2" t="inlineStr">
        <is>
          <t>Control sin nutrición</t>
        </is>
      </c>
      <c r="D2" s="2" t="n">
        <v>-1</v>
      </c>
      <c r="E2" s="3" t="n">
        <v>46286</v>
      </c>
      <c r="F2" s="4" t="n">
        <v>0.4548611111111111</v>
      </c>
      <c r="G2" s="2" t="inlineStr"/>
      <c r="H2" s="4" t="inlineStr"/>
      <c r="I2" s="2" t="inlineStr">
        <is>
          <t>Continua / automática</t>
        </is>
      </c>
      <c r="J2" s="2" t="inlineStr">
        <is>
          <t>CO2 gaseoso y temperatura</t>
        </is>
      </c>
      <c r="K2" s="2" t="inlineStr">
        <is>
          <t>ALTA</t>
        </is>
      </c>
      <c r="L2" s="2" t="inlineStr">
        <is>
          <t>Desde −1 h hasta cierre</t>
        </is>
      </c>
      <c r="M2" s="2" t="inlineStr">
        <is>
          <t>No</t>
        </is>
      </c>
      <c r="N2" s="2" t="inlineStr">
        <is>
          <t>Continua</t>
        </is>
      </c>
      <c r="O2" s="2" t="inlineStr"/>
      <c r="P2" s="6">
        <f>IF(O2="","",SUMIFS($O$2:O2,$A$2:A2,A2,$B$2:B2,B2))</f>
        <v/>
      </c>
      <c r="Q2" s="2" t="inlineStr">
        <is>
          <t>Verificar timestamps, caudalímetro, blanco, hermeticidad, volumen/headspace e interrupciones.</t>
        </is>
      </c>
    </row>
    <row r="3">
      <c r="A3" s="2" t="inlineStr">
        <is>
          <t>Lote 1</t>
        </is>
      </c>
      <c r="B3" s="2" t="inlineStr">
        <is>
          <t>F1</t>
        </is>
      </c>
      <c r="C3" s="2" t="inlineStr">
        <is>
          <t>Control sin nutrición</t>
        </is>
      </c>
      <c r="D3" s="2" t="n">
        <v>-1</v>
      </c>
      <c r="E3" s="3" t="n">
        <v>46286</v>
      </c>
      <c r="F3" s="4" t="n">
        <v>0.4548611111111111</v>
      </c>
      <c r="G3" s="2" t="inlineStr"/>
      <c r="H3" s="4" t="inlineStr"/>
      <c r="I3" s="2" t="inlineStr">
        <is>
          <t>Continua / automática opcional</t>
        </is>
      </c>
      <c r="J3" s="2" t="inlineStr">
        <is>
          <t>O2 disuelto, sólo si existe sonda operacional validada</t>
        </is>
      </c>
      <c r="K3" s="2" t="inlineStr">
        <is>
          <t>OPCIONAL</t>
        </is>
      </c>
      <c r="L3" s="2" t="inlineStr">
        <is>
          <t>Desde antes de inocular hasta transición anaeróbica</t>
        </is>
      </c>
      <c r="M3" s="2" t="inlineStr">
        <is>
          <t>No</t>
        </is>
      </c>
      <c r="N3" s="2" t="inlineStr">
        <is>
          <t>Continua</t>
        </is>
      </c>
      <c r="O3" s="2" t="inlineStr"/>
      <c r="P3" s="6">
        <f>IF(O3="","",SUMIFS($O$2:O3,$A$2:A3,A3,$B$2:B3,B3))</f>
        <v/>
      </c>
      <c r="Q3" s="2" t="inlineStr">
        <is>
          <t>O2 es variable auxiliar de la capa CO2, no estado central; no comprometer mediciones prioritarias.</t>
        </is>
      </c>
    </row>
    <row r="4">
      <c r="A4" s="2" t="inlineStr">
        <is>
          <t>Lote 1</t>
        </is>
      </c>
      <c r="B4" s="2" t="inlineStr">
        <is>
          <t>F1</t>
        </is>
      </c>
      <c r="C4" s="2" t="inlineStr">
        <is>
          <t>Control sin nutrición</t>
        </is>
      </c>
      <c r="D4" s="2" t="n">
        <v>0.25</v>
      </c>
      <c r="E4" s="3" t="n">
        <v>46286</v>
      </c>
      <c r="F4" s="4" t="n">
        <v>0.5069444444444444</v>
      </c>
      <c r="G4" s="2" t="inlineStr"/>
      <c r="H4" s="4" t="inlineStr"/>
      <c r="I4" s="2" t="inlineStr">
        <is>
          <t>Manual compleja</t>
        </is>
      </c>
      <c r="J4" s="2" t="inlineStr">
        <is>
          <t>Oculyze (X/Xd), biomasa, G, F, YAN/componentes disponibles, E, Gly, Brix, densidad, CO2 disuelto, T de muestra</t>
        </is>
      </c>
      <c r="K4" s="2" t="inlineStr">
        <is>
          <t>ALTA</t>
        </is>
      </c>
      <c r="L4" s="2" t="inlineStr">
        <is>
          <t>Condición inicial posinoculación</t>
        </is>
      </c>
      <c r="M4" s="2" t="inlineStr">
        <is>
          <t>Sí</t>
        </is>
      </c>
      <c r="N4" s="2" t="inlineStr">
        <is>
          <t>25 min</t>
        </is>
      </c>
      <c r="O4" s="2" t="inlineStr"/>
      <c r="P4" s="6">
        <f>IF(O4="","",SUMIFS($O$2:O4,$A$2:A4,A4,$B$2:B4,B4))</f>
        <v/>
      </c>
      <c r="Q4" s="2" t="inlineStr">
        <is>
          <t>Sincronizar con fin de inoculación y adquisición; réplica técnica Oculyze si es viable.</t>
        </is>
      </c>
    </row>
    <row r="5">
      <c r="A5" s="2" t="inlineStr">
        <is>
          <t>Lote 1</t>
        </is>
      </c>
      <c r="B5" s="2" t="inlineStr">
        <is>
          <t>F1</t>
        </is>
      </c>
      <c r="C5" s="2" t="inlineStr">
        <is>
          <t>Control sin nutrición</t>
        </is>
      </c>
      <c r="D5" s="2" t="n">
        <v>20.25</v>
      </c>
      <c r="E5" s="3" t="n">
        <v>46287</v>
      </c>
      <c r="F5" s="4" t="n">
        <v>0.3402777777777778</v>
      </c>
      <c r="G5" s="2" t="inlineStr"/>
      <c r="H5" s="4" t="inlineStr"/>
      <c r="I5" s="2" t="inlineStr">
        <is>
          <t>Manual compleja</t>
        </is>
      </c>
      <c r="J5" s="2" t="inlineStr">
        <is>
          <t>Oculyze (X/Xd), biomasa, G, F, YAN/componentes disponibles, E, Gly, Brix, densidad, CO2 disuelto</t>
        </is>
      </c>
      <c r="K5" s="2" t="inlineStr">
        <is>
          <t>ALTA</t>
        </is>
      </c>
      <c r="L5" s="2" t="inlineStr">
        <is>
          <t>Pre-pulso −49.5 h; crecimiento/onset</t>
        </is>
      </c>
      <c r="M5" s="2" t="inlineStr">
        <is>
          <t>Sí</t>
        </is>
      </c>
      <c r="N5" s="2" t="inlineStr">
        <is>
          <t>25 min</t>
        </is>
      </c>
      <c r="O5" s="2" t="inlineStr"/>
      <c r="P5" s="6">
        <f>IF(O5="","",SUMIFS($O$2:O5,$A$2:A5,A5,$B$2:B5,B5))</f>
        <v/>
      </c>
      <c r="Q5" s="2" t="inlineStr">
        <is>
          <t>Ancla temprana cercana al onset de CO2 observado en LAB016–018.</t>
        </is>
      </c>
    </row>
    <row r="6">
      <c r="A6" s="2" t="inlineStr">
        <is>
          <t>Lote 1</t>
        </is>
      </c>
      <c r="B6" s="2" t="inlineStr">
        <is>
          <t>F1</t>
        </is>
      </c>
      <c r="C6" s="2" t="inlineStr">
        <is>
          <t>Control sin nutrición</t>
        </is>
      </c>
      <c r="D6" s="2" t="n">
        <v>44.25</v>
      </c>
      <c r="E6" s="3" t="n">
        <v>46288</v>
      </c>
      <c r="F6" s="4" t="n">
        <v>0.3402777777777778</v>
      </c>
      <c r="G6" s="2" t="inlineStr"/>
      <c r="H6" s="4" t="inlineStr"/>
      <c r="I6" s="2" t="inlineStr">
        <is>
          <t>Manual compleja</t>
        </is>
      </c>
      <c r="J6" s="2" t="inlineStr">
        <is>
          <t>Oculyze (X/Xd), biomasa, G, F, YAN/componentes disponibles, E, Gly, Brix, densidad</t>
        </is>
      </c>
      <c r="K6" s="2" t="inlineStr">
        <is>
          <t>ALTA</t>
        </is>
      </c>
      <c r="L6" s="2" t="inlineStr">
        <is>
          <t>Pre-pulso −25.5 h; crecimiento/pico</t>
        </is>
      </c>
      <c r="M6" s="2" t="inlineStr">
        <is>
          <t>Sí</t>
        </is>
      </c>
      <c r="N6" s="2" t="inlineStr">
        <is>
          <t>25 min</t>
        </is>
      </c>
      <c r="O6" s="2" t="inlineStr"/>
      <c r="P6" s="6">
        <f>IF(O6="","",SUMIFS($O$2:O6,$A$2:A6,A6,$B$2:B6,B6))</f>
        <v/>
      </c>
      <c r="Q6" s="2" t="inlineStr">
        <is>
          <t>Caracteriza máximo de biomasa y metabolismo antes del tratamiento.</t>
        </is>
      </c>
    </row>
    <row r="7">
      <c r="A7" s="2" t="inlineStr">
        <is>
          <t>Lote 1</t>
        </is>
      </c>
      <c r="B7" s="2" t="inlineStr">
        <is>
          <t>F1</t>
        </is>
      </c>
      <c r="C7" s="2" t="inlineStr">
        <is>
          <t>Control sin nutrición</t>
        </is>
      </c>
      <c r="D7" s="2" t="n">
        <v>68.25</v>
      </c>
      <c r="E7" s="3" t="n">
        <v>46289</v>
      </c>
      <c r="F7" s="4" t="n">
        <v>0.3402777777777778</v>
      </c>
      <c r="G7" s="2" t="inlineStr"/>
      <c r="H7" s="4" t="inlineStr"/>
      <c r="I7" s="2" t="inlineStr">
        <is>
          <t>Manual compleja</t>
        </is>
      </c>
      <c r="J7" s="2" t="inlineStr">
        <is>
          <t>Oculyze (X/Xd), biomasa, G, F, YAN/componentes disponibles, E, Gly, Brix, densidad, CO2 disuelto</t>
        </is>
      </c>
      <c r="K7" s="2" t="inlineStr">
        <is>
          <t>ALTA</t>
        </is>
      </c>
      <c r="L7" s="2" t="inlineStr">
        <is>
          <t>Pre-pulso −1.5 h</t>
        </is>
      </c>
      <c r="M7" s="2" t="inlineStr">
        <is>
          <t>Sí</t>
        </is>
      </c>
      <c r="N7" s="2" t="inlineStr">
        <is>
          <t>25 min</t>
        </is>
      </c>
      <c r="O7" s="2" t="inlineStr"/>
      <c r="P7" s="6">
        <f>IF(O7="","",SUMIFS($O$2:O7,$A$2:A7,A7,$B$2:B7,B7))</f>
        <v/>
      </c>
      <c r="Q7" s="2" t="inlineStr">
        <is>
          <t>Baseline emparejada antes de iniciar la secuencia de eventos.</t>
        </is>
      </c>
    </row>
    <row r="8">
      <c r="A8" s="2" t="inlineStr">
        <is>
          <t>Lote 1</t>
        </is>
      </c>
      <c r="B8" s="2" t="inlineStr">
        <is>
          <t>F1</t>
        </is>
      </c>
      <c r="C8" s="2" t="inlineStr">
        <is>
          <t>Control sin nutrición</t>
        </is>
      </c>
      <c r="D8" s="2" t="n">
        <v>71.75</v>
      </c>
      <c r="E8" s="3" t="n">
        <v>46289</v>
      </c>
      <c r="F8" s="4" t="n">
        <v>0.4861111111111111</v>
      </c>
      <c r="G8" s="2" t="inlineStr"/>
      <c r="H8" s="4" t="inlineStr"/>
      <c r="I8" s="2" t="inlineStr">
        <is>
          <t>Manual compleja</t>
        </is>
      </c>
      <c r="J8" s="2" t="inlineStr">
        <is>
          <t>Oculyze (X/Xd), G, F, YAN/componentes disponibles, Brix, densidad</t>
        </is>
      </c>
      <c r="K8" s="2" t="inlineStr">
        <is>
          <t>ALTA</t>
        </is>
      </c>
      <c r="L8" s="2" t="inlineStr">
        <is>
          <t>Post-pulso +2 h</t>
        </is>
      </c>
      <c r="M8" s="2" t="inlineStr">
        <is>
          <t>Sí</t>
        </is>
      </c>
      <c r="N8" s="2" t="inlineStr">
        <is>
          <t>25 min</t>
        </is>
      </c>
      <c r="O8" s="2" t="inlineStr"/>
      <c r="P8" s="6">
        <f>IF(O8="","",SUMIFS($O$2:O8,$A$2:A8,A8,$B$2:B8,B8))</f>
        <v/>
      </c>
      <c r="Q8" s="2" t="inlineStr">
        <is>
          <t>Captura retardo/subida temprana y cambio de N sin inventar ΔN.</t>
        </is>
      </c>
    </row>
    <row r="9">
      <c r="A9" s="2" t="inlineStr">
        <is>
          <t>Lote 1</t>
        </is>
      </c>
      <c r="B9" s="2" t="inlineStr">
        <is>
          <t>F1</t>
        </is>
      </c>
      <c r="C9" s="2" t="inlineStr">
        <is>
          <t>Control sin nutrición</t>
        </is>
      </c>
      <c r="D9" s="2" t="n">
        <v>73.75</v>
      </c>
      <c r="E9" s="3" t="n">
        <v>46289</v>
      </c>
      <c r="F9" s="4" t="n">
        <v>0.5694444444444444</v>
      </c>
      <c r="G9" s="2" t="inlineStr"/>
      <c r="H9" s="4" t="inlineStr"/>
      <c r="I9" s="2" t="inlineStr">
        <is>
          <t>Manual simple</t>
        </is>
      </c>
      <c r="J9" s="2" t="inlineStr">
        <is>
          <t>Brix, densidad, CO2 disuelto</t>
        </is>
      </c>
      <c r="K9" s="2" t="inlineStr">
        <is>
          <t>MEDIA</t>
        </is>
      </c>
      <c r="L9" s="2" t="inlineStr">
        <is>
          <t>Post-pulso +4 h</t>
        </is>
      </c>
      <c r="M9" s="2" t="inlineStr">
        <is>
          <t>Sí</t>
        </is>
      </c>
      <c r="N9" s="2" t="inlineStr">
        <is>
          <t>10 min</t>
        </is>
      </c>
      <c r="O9" s="2" t="inlineStr"/>
      <c r="P9" s="6">
        <f>IF(O9="","",SUMIFS($O$2:O9,$A$2:A9,A9,$B$2:B9,B9))</f>
        <v/>
      </c>
      <c r="Q9" s="2" t="inlineStr">
        <is>
          <t>Ancla física; CO2 gaseoso y temperatura continúan a alta resolución.</t>
        </is>
      </c>
    </row>
    <row r="10">
      <c r="A10" s="2" t="inlineStr">
        <is>
          <t>Lote 1</t>
        </is>
      </c>
      <c r="B10" s="2" t="inlineStr">
        <is>
          <t>F1</t>
        </is>
      </c>
      <c r="C10" s="2" t="inlineStr">
        <is>
          <t>Control sin nutrición</t>
        </is>
      </c>
      <c r="D10" s="2" t="n">
        <v>75.25</v>
      </c>
      <c r="E10" s="3" t="n">
        <v>46289</v>
      </c>
      <c r="F10" s="4" t="n">
        <v>0.6319444444444444</v>
      </c>
      <c r="G10" s="2" t="inlineStr"/>
      <c r="H10" s="4" t="inlineStr"/>
      <c r="I10" s="2" t="inlineStr">
        <is>
          <t>Manual compleja</t>
        </is>
      </c>
      <c r="J10" s="2" t="inlineStr">
        <is>
          <t>Oculyze (X/Xd), biomasa, G, F, YAN/componentes disponibles, E, Gly, Brix, densidad</t>
        </is>
      </c>
      <c r="K10" s="2" t="inlineStr">
        <is>
          <t>ALTA</t>
        </is>
      </c>
      <c r="L10" s="2" t="inlineStr">
        <is>
          <t>Post-pulso +5.5 h</t>
        </is>
      </c>
      <c r="M10" s="2" t="inlineStr">
        <is>
          <t>Sí</t>
        </is>
      </c>
      <c r="N10" s="2" t="inlineStr">
        <is>
          <t>25 min</t>
        </is>
      </c>
      <c r="O10" s="2" t="inlineStr"/>
      <c r="P10" s="6">
        <f>IF(O10="","",SUMIFS($O$2:O10,$A$2:A10,A10,$B$2:B10,B10))</f>
        <v/>
      </c>
      <c r="Q10" s="2" t="inlineStr">
        <is>
          <t>Cerca del máximo diagnóstico de respuesta rápida (~5–6 h).</t>
        </is>
      </c>
    </row>
    <row r="11">
      <c r="A11" s="2" t="inlineStr">
        <is>
          <t>Lote 1</t>
        </is>
      </c>
      <c r="B11" s="2" t="inlineStr">
        <is>
          <t>F1</t>
        </is>
      </c>
      <c r="C11" s="2" t="inlineStr">
        <is>
          <t>Control sin nutrición</t>
        </is>
      </c>
      <c r="D11" s="2" t="n">
        <v>93.75</v>
      </c>
      <c r="E11" s="3" t="n">
        <v>46290</v>
      </c>
      <c r="F11" s="4" t="n">
        <v>0.4027777777777778</v>
      </c>
      <c r="G11" s="2" t="inlineStr"/>
      <c r="H11" s="4" t="inlineStr"/>
      <c r="I11" s="2" t="inlineStr">
        <is>
          <t>Manual compleja</t>
        </is>
      </c>
      <c r="J11" s="2" t="inlineStr">
        <is>
          <t>Oculyze (X/Xd), biomasa, G, F, YAN/componentes disponibles, E, Gly, Brix, densidad, CO2 disuelto</t>
        </is>
      </c>
      <c r="K11" s="2" t="inlineStr">
        <is>
          <t>ALTA</t>
        </is>
      </c>
      <c r="L11" s="2" t="inlineStr">
        <is>
          <t>Post-pulso +24 h</t>
        </is>
      </c>
      <c r="M11" s="2" t="inlineStr">
        <is>
          <t>Sí</t>
        </is>
      </c>
      <c r="N11" s="2" t="inlineStr">
        <is>
          <t>25 min</t>
        </is>
      </c>
      <c r="O11" s="2" t="inlineStr"/>
      <c r="P11" s="6">
        <f>IF(O11="","",SUMIFS($O$2:O11,$A$2:A11,A11,$B$2:B11,B11))</f>
        <v/>
      </c>
      <c r="Q11" s="2" t="inlineStr">
        <is>
          <t>Evalúa persistencia frente a reconvergencia del transitorio.</t>
        </is>
      </c>
    </row>
    <row r="12">
      <c r="A12" s="2" t="inlineStr">
        <is>
          <t>Lote 1</t>
        </is>
      </c>
      <c r="B12" s="2" t="inlineStr">
        <is>
          <t>F1</t>
        </is>
      </c>
      <c r="C12" s="2" t="inlineStr">
        <is>
          <t>Control sin nutrición</t>
        </is>
      </c>
      <c r="D12" s="2" t="n">
        <v>164.25</v>
      </c>
      <c r="E12" s="3" t="n">
        <v>46293</v>
      </c>
      <c r="F12" s="4" t="n">
        <v>0.3402777777777778</v>
      </c>
      <c r="G12" s="2" t="inlineStr"/>
      <c r="H12" s="4" t="inlineStr"/>
      <c r="I12" s="2" t="inlineStr">
        <is>
          <t>Manual compleja</t>
        </is>
      </c>
      <c r="J12" s="2" t="inlineStr">
        <is>
          <t>Oculyze (X/Xd), biomasa, G, F, YAN/componentes disponibles, E, Gly, Brix, densidad, CO2 disuelto</t>
        </is>
      </c>
      <c r="K12" s="2" t="inlineStr">
        <is>
          <t>ALTA</t>
        </is>
      </c>
      <c r="L12" s="2" t="inlineStr">
        <is>
          <t>Post-pulso +94.5 h; terminación/cola</t>
        </is>
      </c>
      <c r="M12" s="2" t="inlineStr">
        <is>
          <t>Sí</t>
        </is>
      </c>
      <c r="N12" s="2" t="inlineStr">
        <is>
          <t>25 min</t>
        </is>
      </c>
      <c r="O12" s="2" t="inlineStr"/>
      <c r="P12" s="6">
        <f>IF(O12="","",SUMIFS($O$2:O12,$A$2:A12,A12,$B$2:B12,B12))</f>
        <v/>
      </c>
      <c r="Q12" s="2" t="inlineStr">
        <is>
          <t>Ancla fructosa residual, N, Xd y CO2 tras el fin de semana.</t>
        </is>
      </c>
    </row>
    <row r="13">
      <c r="A13" s="2" t="inlineStr">
        <is>
          <t>Lote 1</t>
        </is>
      </c>
      <c r="B13" s="2" t="inlineStr">
        <is>
          <t>F1</t>
        </is>
      </c>
      <c r="C13" s="2" t="inlineStr">
        <is>
          <t>Control sin nutrición</t>
        </is>
      </c>
      <c r="D13" s="2" t="n">
        <v>212.25</v>
      </c>
      <c r="E13" s="3" t="n">
        <v>46295</v>
      </c>
      <c r="F13" s="4" t="n">
        <v>0.3402777777777778</v>
      </c>
      <c r="G13" s="2" t="inlineStr"/>
      <c r="H13" s="4" t="inlineStr"/>
      <c r="I13" s="2" t="inlineStr">
        <is>
          <t>Manual compleja</t>
        </is>
      </c>
      <c r="J13" s="2" t="inlineStr">
        <is>
          <t>Oculyze (X/Xd), G, F, YAN/componentes disponibles, E, Gly, Brix, densidad</t>
        </is>
      </c>
      <c r="K13" s="2" t="inlineStr">
        <is>
          <t>MEDIA</t>
        </is>
      </c>
      <c r="L13" s="2" t="inlineStr">
        <is>
          <t>Post-pulso +142.5 h; cola tardía</t>
        </is>
      </c>
      <c r="M13" s="2" t="inlineStr">
        <is>
          <t>Sí</t>
        </is>
      </c>
      <c r="N13" s="2" t="inlineStr">
        <is>
          <t>25 min</t>
        </is>
      </c>
      <c r="O13" s="2" t="inlineStr"/>
      <c r="P13" s="6">
        <f>IF(O13="","",SUMIFS($O$2:O13,$A$2:A13,A13,$B$2:B13,B13))</f>
        <v/>
      </c>
      <c r="Q13" s="2" t="inlineStr">
        <is>
          <t>Distingue terminación basal de un efecto nutricional sostenido.</t>
        </is>
      </c>
    </row>
    <row r="14">
      <c r="A14" s="2" t="inlineStr">
        <is>
          <t>Lote 1</t>
        </is>
      </c>
      <c r="B14" s="2" t="inlineStr">
        <is>
          <t>F1</t>
        </is>
      </c>
      <c r="C14" s="2" t="inlineStr">
        <is>
          <t>Control sin nutrición</t>
        </is>
      </c>
      <c r="D14" s="2" t="n">
        <v>260.25</v>
      </c>
      <c r="E14" s="3" t="n">
        <v>46297</v>
      </c>
      <c r="F14" s="4" t="n">
        <v>0.3402777777777778</v>
      </c>
      <c r="G14" s="2" t="inlineStr"/>
      <c r="H14" s="4" t="inlineStr"/>
      <c r="I14" s="2" t="inlineStr">
        <is>
          <t>Manual compleja / final</t>
        </is>
      </c>
      <c r="J14" s="2" t="inlineStr">
        <is>
          <t>Oculyze (X/Xd), biomasa, G, F, YAN/componentes disponibles, E, Gly, Brix, densidad, CO2 disuelto</t>
        </is>
      </c>
      <c r="K14" s="2" t="inlineStr">
        <is>
          <t>ALTA</t>
        </is>
      </c>
      <c r="L14" s="2" t="inlineStr">
        <is>
          <t>Post-pulso +190.5 h; final planificado</t>
        </is>
      </c>
      <c r="M14" s="2" t="inlineStr">
        <is>
          <t>Sí</t>
        </is>
      </c>
      <c r="N14" s="2" t="inlineStr">
        <is>
          <t>25 min</t>
        </is>
      </c>
      <c r="O14" s="2" t="inlineStr"/>
      <c r="P14" s="6">
        <f>IF(O14="","",SUMIFS($O$2:O14,$A$2:A14,A14,$B$2:B14,B14))</f>
        <v/>
      </c>
      <c r="Q14" s="2" t="inlineStr">
        <is>
          <t>Si el criterio final ocurre antes, trasladar el conjunto y registrar la hora real.</t>
        </is>
      </c>
    </row>
    <row r="15">
      <c r="A15" s="2" t="inlineStr">
        <is>
          <t>Lote 1</t>
        </is>
      </c>
      <c r="B15" s="2" t="inlineStr">
        <is>
          <t>F1</t>
        </is>
      </c>
      <c r="C15" s="2" t="inlineStr">
        <is>
          <t>Control sin nutrición</t>
        </is>
      </c>
      <c r="D15" s="2" t="n">
        <v>69.75</v>
      </c>
      <c r="E15" s="3" t="n">
        <v>46289</v>
      </c>
      <c r="F15" s="4" t="n">
        <v>0.4027777777777778</v>
      </c>
      <c r="G15" s="2" t="inlineStr"/>
      <c r="H15" s="4" t="inlineStr"/>
      <c r="I15" s="2" t="inlineStr">
        <is>
          <t>Evento de proceso</t>
        </is>
      </c>
      <c r="J15" s="2" t="inlineStr">
        <is>
          <t>Marca temporal solamente; no añadir líquido ni producto</t>
        </is>
      </c>
      <c r="K15" s="2" t="inlineStr">
        <is>
          <t>ALTA</t>
        </is>
      </c>
      <c r="L15" s="2" t="inlineStr">
        <is>
          <t>Pseudo-pulso; sin adición</t>
        </is>
      </c>
      <c r="M15" s="2" t="inlineStr">
        <is>
          <t>No</t>
        </is>
      </c>
      <c r="N15" s="2" t="inlineStr">
        <is>
          <t>0 min</t>
        </is>
      </c>
      <c r="O15" s="2" t="inlineStr"/>
      <c r="P15" s="6">
        <f>IF(O15="","",SUMIFS($O$2:O15,$A$2:A15,A15,$B$2:B15,B15))</f>
        <v/>
      </c>
      <c r="Q15" s="2" t="inlineStr">
        <is>
          <t>Criterio fijo causal t=69.75 h. Registrar tiempo real; no decidir con química futura.</t>
        </is>
      </c>
    </row>
    <row r="16">
      <c r="A16" s="2" t="inlineStr">
        <is>
          <t>Lote 1</t>
        </is>
      </c>
      <c r="B16" s="2" t="inlineStr">
        <is>
          <t>F2</t>
        </is>
      </c>
      <c r="C16" s="2" t="inlineStr">
        <is>
          <t>Control sin nutrición</t>
        </is>
      </c>
      <c r="D16" s="2" t="n">
        <v>-1</v>
      </c>
      <c r="E16" s="3" t="n">
        <v>46286</v>
      </c>
      <c r="F16" s="4" t="n">
        <v>0.4722222222222222</v>
      </c>
      <c r="G16" s="2" t="inlineStr"/>
      <c r="H16" s="4" t="inlineStr"/>
      <c r="I16" s="2" t="inlineStr">
        <is>
          <t>Continua / automática</t>
        </is>
      </c>
      <c r="J16" s="2" t="inlineStr">
        <is>
          <t>CO2 gaseoso y temperatura</t>
        </is>
      </c>
      <c r="K16" s="2" t="inlineStr">
        <is>
          <t>ALTA</t>
        </is>
      </c>
      <c r="L16" s="2" t="inlineStr">
        <is>
          <t>Desde −1 h hasta cierre</t>
        </is>
      </c>
      <c r="M16" s="2" t="inlineStr">
        <is>
          <t>No</t>
        </is>
      </c>
      <c r="N16" s="2" t="inlineStr">
        <is>
          <t>Continua</t>
        </is>
      </c>
      <c r="O16" s="2" t="inlineStr"/>
      <c r="P16" s="6">
        <f>IF(O16="","",SUMIFS($O$2:O16,$A$2:A16,A16,$B$2:B16,B16))</f>
        <v/>
      </c>
      <c r="Q16" s="2" t="inlineStr">
        <is>
          <t>Verificar timestamps, caudalímetro, blanco, hermeticidad, volumen/headspace e interrupciones.</t>
        </is>
      </c>
    </row>
    <row r="17">
      <c r="A17" s="2" t="inlineStr">
        <is>
          <t>Lote 1</t>
        </is>
      </c>
      <c r="B17" s="2" t="inlineStr">
        <is>
          <t>F2</t>
        </is>
      </c>
      <c r="C17" s="2" t="inlineStr">
        <is>
          <t>Control sin nutrición</t>
        </is>
      </c>
      <c r="D17" s="2" t="n">
        <v>-1</v>
      </c>
      <c r="E17" s="3" t="n">
        <v>46286</v>
      </c>
      <c r="F17" s="4" t="n">
        <v>0.4722222222222222</v>
      </c>
      <c r="G17" s="2" t="inlineStr"/>
      <c r="H17" s="4" t="inlineStr"/>
      <c r="I17" s="2" t="inlineStr">
        <is>
          <t>Continua / automática opcional</t>
        </is>
      </c>
      <c r="J17" s="2" t="inlineStr">
        <is>
          <t>O2 disuelto, sólo si existe sonda operacional validada</t>
        </is>
      </c>
      <c r="K17" s="2" t="inlineStr">
        <is>
          <t>OPCIONAL</t>
        </is>
      </c>
      <c r="L17" s="2" t="inlineStr">
        <is>
          <t>Desde antes de inocular hasta transición anaeróbica</t>
        </is>
      </c>
      <c r="M17" s="2" t="inlineStr">
        <is>
          <t>No</t>
        </is>
      </c>
      <c r="N17" s="2" t="inlineStr">
        <is>
          <t>Continua</t>
        </is>
      </c>
      <c r="O17" s="2" t="inlineStr"/>
      <c r="P17" s="6">
        <f>IF(O17="","",SUMIFS($O$2:O17,$A$2:A17,A17,$B$2:B17,B17))</f>
        <v/>
      </c>
      <c r="Q17" s="2" t="inlineStr">
        <is>
          <t>O2 es variable auxiliar de la capa CO2, no estado central; no comprometer mediciones prioritarias.</t>
        </is>
      </c>
    </row>
    <row r="18">
      <c r="A18" s="2" t="inlineStr">
        <is>
          <t>Lote 1</t>
        </is>
      </c>
      <c r="B18" s="2" t="inlineStr">
        <is>
          <t>F2</t>
        </is>
      </c>
      <c r="C18" s="2" t="inlineStr">
        <is>
          <t>Control sin nutrición</t>
        </is>
      </c>
      <c r="D18" s="2" t="n">
        <v>0.25</v>
      </c>
      <c r="E18" s="3" t="n">
        <v>46286</v>
      </c>
      <c r="F18" s="4" t="n">
        <v>0.5243055555555556</v>
      </c>
      <c r="G18" s="2" t="inlineStr"/>
      <c r="H18" s="4" t="inlineStr"/>
      <c r="I18" s="2" t="inlineStr">
        <is>
          <t>Manual compleja</t>
        </is>
      </c>
      <c r="J18" s="2" t="inlineStr">
        <is>
          <t>Oculyze (X/Xd), biomasa, G, F, YAN/componentes disponibles, E, Gly, Brix, densidad, CO2 disuelto, T de muestra</t>
        </is>
      </c>
      <c r="K18" s="2" t="inlineStr">
        <is>
          <t>ALTA</t>
        </is>
      </c>
      <c r="L18" s="2" t="inlineStr">
        <is>
          <t>Condición inicial posinoculación</t>
        </is>
      </c>
      <c r="M18" s="2" t="inlineStr">
        <is>
          <t>Sí</t>
        </is>
      </c>
      <c r="N18" s="2" t="inlineStr">
        <is>
          <t>25 min</t>
        </is>
      </c>
      <c r="O18" s="2" t="inlineStr"/>
      <c r="P18" s="6">
        <f>IF(O18="","",SUMIFS($O$2:O18,$A$2:A18,A18,$B$2:B18,B18))</f>
        <v/>
      </c>
      <c r="Q18" s="2" t="inlineStr">
        <is>
          <t>Sincronizar con fin de inoculación y adquisición; réplica técnica Oculyze si es viable.</t>
        </is>
      </c>
    </row>
    <row r="19">
      <c r="A19" s="2" t="inlineStr">
        <is>
          <t>Lote 1</t>
        </is>
      </c>
      <c r="B19" s="2" t="inlineStr">
        <is>
          <t>F2</t>
        </is>
      </c>
      <c r="C19" s="2" t="inlineStr">
        <is>
          <t>Control sin nutrición</t>
        </is>
      </c>
      <c r="D19" s="2" t="n">
        <v>20.25</v>
      </c>
      <c r="E19" s="3" t="n">
        <v>46287</v>
      </c>
      <c r="F19" s="4" t="n">
        <v>0.3576388888888889</v>
      </c>
      <c r="G19" s="2" t="inlineStr"/>
      <c r="H19" s="4" t="inlineStr"/>
      <c r="I19" s="2" t="inlineStr">
        <is>
          <t>Manual compleja</t>
        </is>
      </c>
      <c r="J19" s="2" t="inlineStr">
        <is>
          <t>Oculyze (X/Xd), biomasa, G, F, YAN/componentes disponibles, E, Gly, Brix, densidad, CO2 disuelto</t>
        </is>
      </c>
      <c r="K19" s="2" t="inlineStr">
        <is>
          <t>ALTA</t>
        </is>
      </c>
      <c r="L19" s="2" t="inlineStr">
        <is>
          <t>Pre-pulso −49.5 h; crecimiento/onset</t>
        </is>
      </c>
      <c r="M19" s="2" t="inlineStr">
        <is>
          <t>Sí</t>
        </is>
      </c>
      <c r="N19" s="2" t="inlineStr">
        <is>
          <t>25 min</t>
        </is>
      </c>
      <c r="O19" s="2" t="inlineStr"/>
      <c r="P19" s="6">
        <f>IF(O19="","",SUMIFS($O$2:O19,$A$2:A19,A19,$B$2:B19,B19))</f>
        <v/>
      </c>
      <c r="Q19" s="2" t="inlineStr">
        <is>
          <t>Ancla temprana cercana al onset de CO2 observado en LAB016–018.</t>
        </is>
      </c>
    </row>
    <row r="20">
      <c r="A20" s="2" t="inlineStr">
        <is>
          <t>Lote 1</t>
        </is>
      </c>
      <c r="B20" s="2" t="inlineStr">
        <is>
          <t>F2</t>
        </is>
      </c>
      <c r="C20" s="2" t="inlineStr">
        <is>
          <t>Control sin nutrición</t>
        </is>
      </c>
      <c r="D20" s="2" t="n">
        <v>44.25</v>
      </c>
      <c r="E20" s="3" t="n">
        <v>46288</v>
      </c>
      <c r="F20" s="4" t="n">
        <v>0.3576388888888889</v>
      </c>
      <c r="G20" s="2" t="inlineStr"/>
      <c r="H20" s="4" t="inlineStr"/>
      <c r="I20" s="2" t="inlineStr">
        <is>
          <t>Manual compleja</t>
        </is>
      </c>
      <c r="J20" s="2" t="inlineStr">
        <is>
          <t>Oculyze (X/Xd), biomasa, G, F, YAN/componentes disponibles, E, Gly, Brix, densidad</t>
        </is>
      </c>
      <c r="K20" s="2" t="inlineStr">
        <is>
          <t>ALTA</t>
        </is>
      </c>
      <c r="L20" s="2" t="inlineStr">
        <is>
          <t>Pre-pulso −25.5 h; crecimiento/pico</t>
        </is>
      </c>
      <c r="M20" s="2" t="inlineStr">
        <is>
          <t>Sí</t>
        </is>
      </c>
      <c r="N20" s="2" t="inlineStr">
        <is>
          <t>25 min</t>
        </is>
      </c>
      <c r="O20" s="2" t="inlineStr"/>
      <c r="P20" s="6">
        <f>IF(O20="","",SUMIFS($O$2:O20,$A$2:A20,A20,$B$2:B20,B20))</f>
        <v/>
      </c>
      <c r="Q20" s="2" t="inlineStr">
        <is>
          <t>Caracteriza máximo de biomasa y metabolismo antes del tratamiento.</t>
        </is>
      </c>
    </row>
    <row r="21">
      <c r="A21" s="2" t="inlineStr">
        <is>
          <t>Lote 1</t>
        </is>
      </c>
      <c r="B21" s="2" t="inlineStr">
        <is>
          <t>F2</t>
        </is>
      </c>
      <c r="C21" s="2" t="inlineStr">
        <is>
          <t>Control sin nutrición</t>
        </is>
      </c>
      <c r="D21" s="2" t="n">
        <v>68.25</v>
      </c>
      <c r="E21" s="3" t="n">
        <v>46289</v>
      </c>
      <c r="F21" s="4" t="n">
        <v>0.3576388888888889</v>
      </c>
      <c r="G21" s="2" t="inlineStr"/>
      <c r="H21" s="4" t="inlineStr"/>
      <c r="I21" s="2" t="inlineStr">
        <is>
          <t>Manual compleja</t>
        </is>
      </c>
      <c r="J21" s="2" t="inlineStr">
        <is>
          <t>Oculyze (X/Xd), biomasa, G, F, YAN/componentes disponibles, E, Gly, Brix, densidad, CO2 disuelto</t>
        </is>
      </c>
      <c r="K21" s="2" t="inlineStr">
        <is>
          <t>ALTA</t>
        </is>
      </c>
      <c r="L21" s="2" t="inlineStr">
        <is>
          <t>Pre-pulso −1.5 h</t>
        </is>
      </c>
      <c r="M21" s="2" t="inlineStr">
        <is>
          <t>Sí</t>
        </is>
      </c>
      <c r="N21" s="2" t="inlineStr">
        <is>
          <t>25 min</t>
        </is>
      </c>
      <c r="O21" s="2" t="inlineStr"/>
      <c r="P21" s="6">
        <f>IF(O21="","",SUMIFS($O$2:O21,$A$2:A21,A21,$B$2:B21,B21))</f>
        <v/>
      </c>
      <c r="Q21" s="2" t="inlineStr">
        <is>
          <t>Baseline emparejada antes de iniciar la secuencia de eventos.</t>
        </is>
      </c>
    </row>
    <row r="22">
      <c r="A22" s="2" t="inlineStr">
        <is>
          <t>Lote 1</t>
        </is>
      </c>
      <c r="B22" s="2" t="inlineStr">
        <is>
          <t>F2</t>
        </is>
      </c>
      <c r="C22" s="2" t="inlineStr">
        <is>
          <t>Control sin nutrición</t>
        </is>
      </c>
      <c r="D22" s="2" t="n">
        <v>71.75</v>
      </c>
      <c r="E22" s="3" t="n">
        <v>46289</v>
      </c>
      <c r="F22" s="4" t="n">
        <v>0.5034722222222222</v>
      </c>
      <c r="G22" s="2" t="inlineStr"/>
      <c r="H22" s="4" t="inlineStr"/>
      <c r="I22" s="2" t="inlineStr">
        <is>
          <t>Manual compleja</t>
        </is>
      </c>
      <c r="J22" s="2" t="inlineStr">
        <is>
          <t>Oculyze (X/Xd), G, F, YAN/componentes disponibles, Brix, densidad</t>
        </is>
      </c>
      <c r="K22" s="2" t="inlineStr">
        <is>
          <t>ALTA</t>
        </is>
      </c>
      <c r="L22" s="2" t="inlineStr">
        <is>
          <t>Post-pulso +2 h</t>
        </is>
      </c>
      <c r="M22" s="2" t="inlineStr">
        <is>
          <t>Sí</t>
        </is>
      </c>
      <c r="N22" s="2" t="inlineStr">
        <is>
          <t>25 min</t>
        </is>
      </c>
      <c r="O22" s="2" t="inlineStr"/>
      <c r="P22" s="6">
        <f>IF(O22="","",SUMIFS($O$2:O22,$A$2:A22,A22,$B$2:B22,B22))</f>
        <v/>
      </c>
      <c r="Q22" s="2" t="inlineStr">
        <is>
          <t>Captura retardo/subida temprana y cambio de N sin inventar ΔN.</t>
        </is>
      </c>
    </row>
    <row r="23">
      <c r="A23" s="2" t="inlineStr">
        <is>
          <t>Lote 1</t>
        </is>
      </c>
      <c r="B23" s="2" t="inlineStr">
        <is>
          <t>F2</t>
        </is>
      </c>
      <c r="C23" s="2" t="inlineStr">
        <is>
          <t>Control sin nutrición</t>
        </is>
      </c>
      <c r="D23" s="2" t="n">
        <v>73.75</v>
      </c>
      <c r="E23" s="3" t="n">
        <v>46289</v>
      </c>
      <c r="F23" s="4" t="n">
        <v>0.5868055555555556</v>
      </c>
      <c r="G23" s="2" t="inlineStr"/>
      <c r="H23" s="4" t="inlineStr"/>
      <c r="I23" s="2" t="inlineStr">
        <is>
          <t>Manual simple</t>
        </is>
      </c>
      <c r="J23" s="2" t="inlineStr">
        <is>
          <t>Brix, densidad, CO2 disuelto</t>
        </is>
      </c>
      <c r="K23" s="2" t="inlineStr">
        <is>
          <t>MEDIA</t>
        </is>
      </c>
      <c r="L23" s="2" t="inlineStr">
        <is>
          <t>Post-pulso +4 h</t>
        </is>
      </c>
      <c r="M23" s="2" t="inlineStr">
        <is>
          <t>Sí</t>
        </is>
      </c>
      <c r="N23" s="2" t="inlineStr">
        <is>
          <t>10 min</t>
        </is>
      </c>
      <c r="O23" s="2" t="inlineStr"/>
      <c r="P23" s="6">
        <f>IF(O23="","",SUMIFS($O$2:O23,$A$2:A23,A23,$B$2:B23,B23))</f>
        <v/>
      </c>
      <c r="Q23" s="2" t="inlineStr">
        <is>
          <t>Ancla física; CO2 gaseoso y temperatura continúan a alta resolución.</t>
        </is>
      </c>
    </row>
    <row r="24">
      <c r="A24" s="2" t="inlineStr">
        <is>
          <t>Lote 1</t>
        </is>
      </c>
      <c r="B24" s="2" t="inlineStr">
        <is>
          <t>F2</t>
        </is>
      </c>
      <c r="C24" s="2" t="inlineStr">
        <is>
          <t>Control sin nutrición</t>
        </is>
      </c>
      <c r="D24" s="2" t="n">
        <v>75.25</v>
      </c>
      <c r="E24" s="3" t="n">
        <v>46289</v>
      </c>
      <c r="F24" s="4" t="n">
        <v>0.6493055555555556</v>
      </c>
      <c r="G24" s="2" t="inlineStr"/>
      <c r="H24" s="4" t="inlineStr"/>
      <c r="I24" s="2" t="inlineStr">
        <is>
          <t>Manual compleja</t>
        </is>
      </c>
      <c r="J24" s="2" t="inlineStr">
        <is>
          <t>Oculyze (X/Xd), biomasa, G, F, YAN/componentes disponibles, E, Gly, Brix, densidad</t>
        </is>
      </c>
      <c r="K24" s="2" t="inlineStr">
        <is>
          <t>ALTA</t>
        </is>
      </c>
      <c r="L24" s="2" t="inlineStr">
        <is>
          <t>Post-pulso +5.5 h</t>
        </is>
      </c>
      <c r="M24" s="2" t="inlineStr">
        <is>
          <t>Sí</t>
        </is>
      </c>
      <c r="N24" s="2" t="inlineStr">
        <is>
          <t>25 min</t>
        </is>
      </c>
      <c r="O24" s="2" t="inlineStr"/>
      <c r="P24" s="6">
        <f>IF(O24="","",SUMIFS($O$2:O24,$A$2:A24,A24,$B$2:B24,B24))</f>
        <v/>
      </c>
      <c r="Q24" s="2" t="inlineStr">
        <is>
          <t>Cerca del máximo diagnóstico de respuesta rápida (~5–6 h).</t>
        </is>
      </c>
    </row>
    <row r="25">
      <c r="A25" s="2" t="inlineStr">
        <is>
          <t>Lote 1</t>
        </is>
      </c>
      <c r="B25" s="2" t="inlineStr">
        <is>
          <t>F2</t>
        </is>
      </c>
      <c r="C25" s="2" t="inlineStr">
        <is>
          <t>Control sin nutrición</t>
        </is>
      </c>
      <c r="D25" s="2" t="n">
        <v>93.75</v>
      </c>
      <c r="E25" s="3" t="n">
        <v>46290</v>
      </c>
      <c r="F25" s="4" t="n">
        <v>0.4201388888888889</v>
      </c>
      <c r="G25" s="2" t="inlineStr"/>
      <c r="H25" s="4" t="inlineStr"/>
      <c r="I25" s="2" t="inlineStr">
        <is>
          <t>Manual compleja</t>
        </is>
      </c>
      <c r="J25" s="2" t="inlineStr">
        <is>
          <t>Oculyze (X/Xd), biomasa, G, F, YAN/componentes disponibles, E, Gly, Brix, densidad, CO2 disuelto</t>
        </is>
      </c>
      <c r="K25" s="2" t="inlineStr">
        <is>
          <t>ALTA</t>
        </is>
      </c>
      <c r="L25" s="2" t="inlineStr">
        <is>
          <t>Post-pulso +24 h</t>
        </is>
      </c>
      <c r="M25" s="2" t="inlineStr">
        <is>
          <t>Sí</t>
        </is>
      </c>
      <c r="N25" s="2" t="inlineStr">
        <is>
          <t>25 min</t>
        </is>
      </c>
      <c r="O25" s="2" t="inlineStr"/>
      <c r="P25" s="6">
        <f>IF(O25="","",SUMIFS($O$2:O25,$A$2:A25,A25,$B$2:B25,B25))</f>
        <v/>
      </c>
      <c r="Q25" s="2" t="inlineStr">
        <is>
          <t>Evalúa persistencia frente a reconvergencia del transitorio.</t>
        </is>
      </c>
    </row>
    <row r="26">
      <c r="A26" s="2" t="inlineStr">
        <is>
          <t>Lote 1</t>
        </is>
      </c>
      <c r="B26" s="2" t="inlineStr">
        <is>
          <t>F2</t>
        </is>
      </c>
      <c r="C26" s="2" t="inlineStr">
        <is>
          <t>Control sin nutrición</t>
        </is>
      </c>
      <c r="D26" s="2" t="n">
        <v>164.25</v>
      </c>
      <c r="E26" s="3" t="n">
        <v>46293</v>
      </c>
      <c r="F26" s="4" t="n">
        <v>0.3576388888888889</v>
      </c>
      <c r="G26" s="2" t="inlineStr"/>
      <c r="H26" s="4" t="inlineStr"/>
      <c r="I26" s="2" t="inlineStr">
        <is>
          <t>Manual compleja</t>
        </is>
      </c>
      <c r="J26" s="2" t="inlineStr">
        <is>
          <t>Oculyze (X/Xd), biomasa, G, F, YAN/componentes disponibles, E, Gly, Brix, densidad, CO2 disuelto</t>
        </is>
      </c>
      <c r="K26" s="2" t="inlineStr">
        <is>
          <t>ALTA</t>
        </is>
      </c>
      <c r="L26" s="2" t="inlineStr">
        <is>
          <t>Post-pulso +94.5 h; terminación/cola</t>
        </is>
      </c>
      <c r="M26" s="2" t="inlineStr">
        <is>
          <t>Sí</t>
        </is>
      </c>
      <c r="N26" s="2" t="inlineStr">
        <is>
          <t>25 min</t>
        </is>
      </c>
      <c r="O26" s="2" t="inlineStr"/>
      <c r="P26" s="6">
        <f>IF(O26="","",SUMIFS($O$2:O26,$A$2:A26,A26,$B$2:B26,B26))</f>
        <v/>
      </c>
      <c r="Q26" s="2" t="inlineStr">
        <is>
          <t>Ancla fructosa residual, N, Xd y CO2 tras el fin de semana.</t>
        </is>
      </c>
    </row>
    <row r="27">
      <c r="A27" s="2" t="inlineStr">
        <is>
          <t>Lote 1</t>
        </is>
      </c>
      <c r="B27" s="2" t="inlineStr">
        <is>
          <t>F2</t>
        </is>
      </c>
      <c r="C27" s="2" t="inlineStr">
        <is>
          <t>Control sin nutrición</t>
        </is>
      </c>
      <c r="D27" s="2" t="n">
        <v>212.25</v>
      </c>
      <c r="E27" s="3" t="n">
        <v>46295</v>
      </c>
      <c r="F27" s="4" t="n">
        <v>0.3576388888888889</v>
      </c>
      <c r="G27" s="2" t="inlineStr"/>
      <c r="H27" s="4" t="inlineStr"/>
      <c r="I27" s="2" t="inlineStr">
        <is>
          <t>Manual compleja</t>
        </is>
      </c>
      <c r="J27" s="2" t="inlineStr">
        <is>
          <t>Oculyze (X/Xd), G, F, YAN/componentes disponibles, E, Gly, Brix, densidad</t>
        </is>
      </c>
      <c r="K27" s="2" t="inlineStr">
        <is>
          <t>MEDIA</t>
        </is>
      </c>
      <c r="L27" s="2" t="inlineStr">
        <is>
          <t>Post-pulso +142.5 h; cola tardía</t>
        </is>
      </c>
      <c r="M27" s="2" t="inlineStr">
        <is>
          <t>Sí</t>
        </is>
      </c>
      <c r="N27" s="2" t="inlineStr">
        <is>
          <t>25 min</t>
        </is>
      </c>
      <c r="O27" s="2" t="inlineStr"/>
      <c r="P27" s="6">
        <f>IF(O27="","",SUMIFS($O$2:O27,$A$2:A27,A27,$B$2:B27,B27))</f>
        <v/>
      </c>
      <c r="Q27" s="2" t="inlineStr">
        <is>
          <t>Distingue terminación basal de un efecto nutricional sostenido.</t>
        </is>
      </c>
    </row>
    <row r="28">
      <c r="A28" s="2" t="inlineStr">
        <is>
          <t>Lote 1</t>
        </is>
      </c>
      <c r="B28" s="2" t="inlineStr">
        <is>
          <t>F2</t>
        </is>
      </c>
      <c r="C28" s="2" t="inlineStr">
        <is>
          <t>Control sin nutrición</t>
        </is>
      </c>
      <c r="D28" s="2" t="n">
        <v>260.25</v>
      </c>
      <c r="E28" s="3" t="n">
        <v>46297</v>
      </c>
      <c r="F28" s="4" t="n">
        <v>0.3576388888888889</v>
      </c>
      <c r="G28" s="2" t="inlineStr"/>
      <c r="H28" s="4" t="inlineStr"/>
      <c r="I28" s="2" t="inlineStr">
        <is>
          <t>Manual compleja / final</t>
        </is>
      </c>
      <c r="J28" s="2" t="inlineStr">
        <is>
          <t>Oculyze (X/Xd), biomasa, G, F, YAN/componentes disponibles, E, Gly, Brix, densidad, CO2 disuelto</t>
        </is>
      </c>
      <c r="K28" s="2" t="inlineStr">
        <is>
          <t>ALTA</t>
        </is>
      </c>
      <c r="L28" s="2" t="inlineStr">
        <is>
          <t>Post-pulso +190.5 h; final planificado</t>
        </is>
      </c>
      <c r="M28" s="2" t="inlineStr">
        <is>
          <t>Sí</t>
        </is>
      </c>
      <c r="N28" s="2" t="inlineStr">
        <is>
          <t>25 min</t>
        </is>
      </c>
      <c r="O28" s="2" t="inlineStr"/>
      <c r="P28" s="6">
        <f>IF(O28="","",SUMIFS($O$2:O28,$A$2:A28,A28,$B$2:B28,B28))</f>
        <v/>
      </c>
      <c r="Q28" s="2" t="inlineStr">
        <is>
          <t>Si el criterio final ocurre antes, trasladar el conjunto y registrar la hora real.</t>
        </is>
      </c>
    </row>
    <row r="29">
      <c r="A29" s="2" t="inlineStr">
        <is>
          <t>Lote 1</t>
        </is>
      </c>
      <c r="B29" s="2" t="inlineStr">
        <is>
          <t>F2</t>
        </is>
      </c>
      <c r="C29" s="2" t="inlineStr">
        <is>
          <t>Control sin nutrición</t>
        </is>
      </c>
      <c r="D29" s="2" t="n">
        <v>69.75</v>
      </c>
      <c r="E29" s="3" t="n">
        <v>46289</v>
      </c>
      <c r="F29" s="4" t="n">
        <v>0.4201388888888889</v>
      </c>
      <c r="G29" s="2" t="inlineStr"/>
      <c r="H29" s="4" t="inlineStr"/>
      <c r="I29" s="2" t="inlineStr">
        <is>
          <t>Evento de proceso</t>
        </is>
      </c>
      <c r="J29" s="2" t="inlineStr">
        <is>
          <t>Marca temporal solamente; no añadir líquido ni producto</t>
        </is>
      </c>
      <c r="K29" s="2" t="inlineStr">
        <is>
          <t>ALTA</t>
        </is>
      </c>
      <c r="L29" s="2" t="inlineStr">
        <is>
          <t>Pseudo-pulso; sin adición</t>
        </is>
      </c>
      <c r="M29" s="2" t="inlineStr">
        <is>
          <t>No</t>
        </is>
      </c>
      <c r="N29" s="2" t="inlineStr">
        <is>
          <t>0 min</t>
        </is>
      </c>
      <c r="O29" s="2" t="inlineStr"/>
      <c r="P29" s="6">
        <f>IF(O29="","",SUMIFS($O$2:O29,$A$2:A29,A29,$B$2:B29,B29))</f>
        <v/>
      </c>
      <c r="Q29" s="2" t="inlineStr">
        <is>
          <t>Criterio fijo causal t=69.75 h. Registrar tiempo real; no decidir con química futura.</t>
        </is>
      </c>
    </row>
    <row r="30">
      <c r="A30" s="2" t="inlineStr">
        <is>
          <t>Lote 1</t>
        </is>
      </c>
      <c r="B30" s="2" t="inlineStr">
        <is>
          <t>F3</t>
        </is>
      </c>
      <c r="C30" s="2" t="inlineStr">
        <is>
          <t>Nutrición conocida y trazable</t>
        </is>
      </c>
      <c r="D30" s="2" t="n">
        <v>-1</v>
      </c>
      <c r="E30" s="3" t="n">
        <v>46286</v>
      </c>
      <c r="F30" s="4" t="n">
        <v>0.4895833333333333</v>
      </c>
      <c r="G30" s="2" t="inlineStr"/>
      <c r="H30" s="4" t="inlineStr"/>
      <c r="I30" s="2" t="inlineStr">
        <is>
          <t>Continua / automática</t>
        </is>
      </c>
      <c r="J30" s="2" t="inlineStr">
        <is>
          <t>CO2 gaseoso y temperatura</t>
        </is>
      </c>
      <c r="K30" s="2" t="inlineStr">
        <is>
          <t>ALTA</t>
        </is>
      </c>
      <c r="L30" s="2" t="inlineStr">
        <is>
          <t>Desde −1 h hasta cierre</t>
        </is>
      </c>
      <c r="M30" s="2" t="inlineStr">
        <is>
          <t>No</t>
        </is>
      </c>
      <c r="N30" s="2" t="inlineStr">
        <is>
          <t>Continua</t>
        </is>
      </c>
      <c r="O30" s="2" t="inlineStr"/>
      <c r="P30" s="6">
        <f>IF(O30="","",SUMIFS($O$2:O30,$A$2:A30,A30,$B$2:B30,B30))</f>
        <v/>
      </c>
      <c r="Q30" s="2" t="inlineStr">
        <is>
          <t>Verificar timestamps, caudalímetro, blanco, hermeticidad, volumen/headspace e interrupciones.</t>
        </is>
      </c>
    </row>
    <row r="31">
      <c r="A31" s="2" t="inlineStr">
        <is>
          <t>Lote 1</t>
        </is>
      </c>
      <c r="B31" s="2" t="inlineStr">
        <is>
          <t>F3</t>
        </is>
      </c>
      <c r="C31" s="2" t="inlineStr">
        <is>
          <t>Nutrición conocida y trazable</t>
        </is>
      </c>
      <c r="D31" s="2" t="n">
        <v>-1</v>
      </c>
      <c r="E31" s="3" t="n">
        <v>46286</v>
      </c>
      <c r="F31" s="4" t="n">
        <v>0.4895833333333333</v>
      </c>
      <c r="G31" s="2" t="inlineStr"/>
      <c r="H31" s="4" t="inlineStr"/>
      <c r="I31" s="2" t="inlineStr">
        <is>
          <t>Continua / automática opcional</t>
        </is>
      </c>
      <c r="J31" s="2" t="inlineStr">
        <is>
          <t>O2 disuelto, sólo si existe sonda operacional validada</t>
        </is>
      </c>
      <c r="K31" s="2" t="inlineStr">
        <is>
          <t>OPCIONAL</t>
        </is>
      </c>
      <c r="L31" s="2" t="inlineStr">
        <is>
          <t>Desde antes de inocular hasta transición anaeróbica</t>
        </is>
      </c>
      <c r="M31" s="2" t="inlineStr">
        <is>
          <t>No</t>
        </is>
      </c>
      <c r="N31" s="2" t="inlineStr">
        <is>
          <t>Continua</t>
        </is>
      </c>
      <c r="O31" s="2" t="inlineStr"/>
      <c r="P31" s="6">
        <f>IF(O31="","",SUMIFS($O$2:O31,$A$2:A31,A31,$B$2:B31,B31))</f>
        <v/>
      </c>
      <c r="Q31" s="2" t="inlineStr">
        <is>
          <t>O2 es variable auxiliar de la capa CO2, no estado central; no comprometer mediciones prioritarias.</t>
        </is>
      </c>
    </row>
    <row r="32">
      <c r="A32" s="2" t="inlineStr">
        <is>
          <t>Lote 1</t>
        </is>
      </c>
      <c r="B32" s="2" t="inlineStr">
        <is>
          <t>F3</t>
        </is>
      </c>
      <c r="C32" s="2" t="inlineStr">
        <is>
          <t>Nutrición conocida y trazable</t>
        </is>
      </c>
      <c r="D32" s="2" t="n">
        <v>0.25</v>
      </c>
      <c r="E32" s="3" t="n">
        <v>46286</v>
      </c>
      <c r="F32" s="4" t="n">
        <v>0.5416666666666666</v>
      </c>
      <c r="G32" s="2" t="inlineStr"/>
      <c r="H32" s="4" t="inlineStr"/>
      <c r="I32" s="2" t="inlineStr">
        <is>
          <t>Manual compleja</t>
        </is>
      </c>
      <c r="J32" s="2" t="inlineStr">
        <is>
          <t>Oculyze (X/Xd), biomasa, G, F, YAN/componentes disponibles, E, Gly, Brix, densidad, CO2 disuelto, T de muestra</t>
        </is>
      </c>
      <c r="K32" s="2" t="inlineStr">
        <is>
          <t>ALTA</t>
        </is>
      </c>
      <c r="L32" s="2" t="inlineStr">
        <is>
          <t>Condición inicial posinoculación</t>
        </is>
      </c>
      <c r="M32" s="2" t="inlineStr">
        <is>
          <t>Sí</t>
        </is>
      </c>
      <c r="N32" s="2" t="inlineStr">
        <is>
          <t>25 min</t>
        </is>
      </c>
      <c r="O32" s="2" t="inlineStr"/>
      <c r="P32" s="6">
        <f>IF(O32="","",SUMIFS($O$2:O32,$A$2:A32,A32,$B$2:B32,B32))</f>
        <v/>
      </c>
      <c r="Q32" s="2" t="inlineStr">
        <is>
          <t>Sincronizar con fin de inoculación y adquisición; réplica técnica Oculyze si es viable.</t>
        </is>
      </c>
    </row>
    <row r="33">
      <c r="A33" s="2" t="inlineStr">
        <is>
          <t>Lote 1</t>
        </is>
      </c>
      <c r="B33" s="2" t="inlineStr">
        <is>
          <t>F3</t>
        </is>
      </c>
      <c r="C33" s="2" t="inlineStr">
        <is>
          <t>Nutrición conocida y trazable</t>
        </is>
      </c>
      <c r="D33" s="2" t="n">
        <v>20.25</v>
      </c>
      <c r="E33" s="3" t="n">
        <v>46287</v>
      </c>
      <c r="F33" s="4" t="n">
        <v>0.375</v>
      </c>
      <c r="G33" s="2" t="inlineStr"/>
      <c r="H33" s="4" t="inlineStr"/>
      <c r="I33" s="2" t="inlineStr">
        <is>
          <t>Manual compleja</t>
        </is>
      </c>
      <c r="J33" s="2" t="inlineStr">
        <is>
          <t>Oculyze (X/Xd), biomasa, G, F, YAN/componentes disponibles, E, Gly, Brix, densidad, CO2 disuelto</t>
        </is>
      </c>
      <c r="K33" s="2" t="inlineStr">
        <is>
          <t>ALTA</t>
        </is>
      </c>
      <c r="L33" s="2" t="inlineStr">
        <is>
          <t>Pre-pulso −49.5 h; crecimiento/onset</t>
        </is>
      </c>
      <c r="M33" s="2" t="inlineStr">
        <is>
          <t>Sí</t>
        </is>
      </c>
      <c r="N33" s="2" t="inlineStr">
        <is>
          <t>25 min</t>
        </is>
      </c>
      <c r="O33" s="2" t="inlineStr"/>
      <c r="P33" s="6">
        <f>IF(O33="","",SUMIFS($O$2:O33,$A$2:A33,A33,$B$2:B33,B33))</f>
        <v/>
      </c>
      <c r="Q33" s="2" t="inlineStr">
        <is>
          <t>Ancla temprana cercana al onset de CO2 observado en LAB016–018.</t>
        </is>
      </c>
    </row>
    <row r="34">
      <c r="A34" s="2" t="inlineStr">
        <is>
          <t>Lote 1</t>
        </is>
      </c>
      <c r="B34" s="2" t="inlineStr">
        <is>
          <t>F3</t>
        </is>
      </c>
      <c r="C34" s="2" t="inlineStr">
        <is>
          <t>Nutrición conocida y trazable</t>
        </is>
      </c>
      <c r="D34" s="2" t="n">
        <v>44.25</v>
      </c>
      <c r="E34" s="3" t="n">
        <v>46288</v>
      </c>
      <c r="F34" s="4" t="n">
        <v>0.375</v>
      </c>
      <c r="G34" s="2" t="inlineStr"/>
      <c r="H34" s="4" t="inlineStr"/>
      <c r="I34" s="2" t="inlineStr">
        <is>
          <t>Manual compleja</t>
        </is>
      </c>
      <c r="J34" s="2" t="inlineStr">
        <is>
          <t>Oculyze (X/Xd), biomasa, G, F, YAN/componentes disponibles, E, Gly, Brix, densidad</t>
        </is>
      </c>
      <c r="K34" s="2" t="inlineStr">
        <is>
          <t>ALTA</t>
        </is>
      </c>
      <c r="L34" s="2" t="inlineStr">
        <is>
          <t>Pre-pulso −25.5 h; crecimiento/pico</t>
        </is>
      </c>
      <c r="M34" s="2" t="inlineStr">
        <is>
          <t>Sí</t>
        </is>
      </c>
      <c r="N34" s="2" t="inlineStr">
        <is>
          <t>25 min</t>
        </is>
      </c>
      <c r="O34" s="2" t="inlineStr"/>
      <c r="P34" s="6">
        <f>IF(O34="","",SUMIFS($O$2:O34,$A$2:A34,A34,$B$2:B34,B34))</f>
        <v/>
      </c>
      <c r="Q34" s="2" t="inlineStr">
        <is>
          <t>Caracteriza máximo de biomasa y metabolismo antes del tratamiento.</t>
        </is>
      </c>
    </row>
    <row r="35">
      <c r="A35" s="2" t="inlineStr">
        <is>
          <t>Lote 1</t>
        </is>
      </c>
      <c r="B35" s="2" t="inlineStr">
        <is>
          <t>F3</t>
        </is>
      </c>
      <c r="C35" s="2" t="inlineStr">
        <is>
          <t>Nutrición conocida y trazable</t>
        </is>
      </c>
      <c r="D35" s="2" t="n">
        <v>68.25</v>
      </c>
      <c r="E35" s="3" t="n">
        <v>46289</v>
      </c>
      <c r="F35" s="4" t="n">
        <v>0.375</v>
      </c>
      <c r="G35" s="2" t="inlineStr"/>
      <c r="H35" s="4" t="inlineStr"/>
      <c r="I35" s="2" t="inlineStr">
        <is>
          <t>Manual compleja</t>
        </is>
      </c>
      <c r="J35" s="2" t="inlineStr">
        <is>
          <t>Oculyze (X/Xd), biomasa, G, F, YAN/componentes disponibles, E, Gly, Brix, densidad, CO2 disuelto</t>
        </is>
      </c>
      <c r="K35" s="2" t="inlineStr">
        <is>
          <t>ALTA</t>
        </is>
      </c>
      <c r="L35" s="2" t="inlineStr">
        <is>
          <t>Pre-pulso −1.5 h</t>
        </is>
      </c>
      <c r="M35" s="2" t="inlineStr">
        <is>
          <t>Sí</t>
        </is>
      </c>
      <c r="N35" s="2" t="inlineStr">
        <is>
          <t>25 min</t>
        </is>
      </c>
      <c r="O35" s="2" t="inlineStr"/>
      <c r="P35" s="6">
        <f>IF(O35="","",SUMIFS($O$2:O35,$A$2:A35,A35,$B$2:B35,B35))</f>
        <v/>
      </c>
      <c r="Q35" s="2" t="inlineStr">
        <is>
          <t>Baseline emparejada antes de iniciar la secuencia de eventos.</t>
        </is>
      </c>
    </row>
    <row r="36">
      <c r="A36" s="2" t="inlineStr">
        <is>
          <t>Lote 1</t>
        </is>
      </c>
      <c r="B36" s="2" t="inlineStr">
        <is>
          <t>F3</t>
        </is>
      </c>
      <c r="C36" s="2" t="inlineStr">
        <is>
          <t>Nutrición conocida y trazable</t>
        </is>
      </c>
      <c r="D36" s="2" t="n">
        <v>71.75</v>
      </c>
      <c r="E36" s="3" t="n">
        <v>46289</v>
      </c>
      <c r="F36" s="4" t="n">
        <v>0.5208333333333334</v>
      </c>
      <c r="G36" s="2" t="inlineStr"/>
      <c r="H36" s="4" t="inlineStr"/>
      <c r="I36" s="2" t="inlineStr">
        <is>
          <t>Manual compleja</t>
        </is>
      </c>
      <c r="J36" s="2" t="inlineStr">
        <is>
          <t>Oculyze (X/Xd), G, F, YAN/componentes disponibles, Brix, densidad</t>
        </is>
      </c>
      <c r="K36" s="2" t="inlineStr">
        <is>
          <t>ALTA</t>
        </is>
      </c>
      <c r="L36" s="2" t="inlineStr">
        <is>
          <t>Post-pulso +2 h</t>
        </is>
      </c>
      <c r="M36" s="2" t="inlineStr">
        <is>
          <t>Sí</t>
        </is>
      </c>
      <c r="N36" s="2" t="inlineStr">
        <is>
          <t>25 min</t>
        </is>
      </c>
      <c r="O36" s="2" t="inlineStr"/>
      <c r="P36" s="6">
        <f>IF(O36="","",SUMIFS($O$2:O36,$A$2:A36,A36,$B$2:B36,B36))</f>
        <v/>
      </c>
      <c r="Q36" s="2" t="inlineStr">
        <is>
          <t>Captura retardo/subida temprana y cambio de N sin inventar ΔN.</t>
        </is>
      </c>
    </row>
    <row r="37">
      <c r="A37" s="2" t="inlineStr">
        <is>
          <t>Lote 1</t>
        </is>
      </c>
      <c r="B37" s="2" t="inlineStr">
        <is>
          <t>F3</t>
        </is>
      </c>
      <c r="C37" s="2" t="inlineStr">
        <is>
          <t>Nutrición conocida y trazable</t>
        </is>
      </c>
      <c r="D37" s="2" t="n">
        <v>73.75</v>
      </c>
      <c r="E37" s="3" t="n">
        <v>46289</v>
      </c>
      <c r="F37" s="4" t="n">
        <v>0.6041666666666666</v>
      </c>
      <c r="G37" s="2" t="inlineStr"/>
      <c r="H37" s="4" t="inlineStr"/>
      <c r="I37" s="2" t="inlineStr">
        <is>
          <t>Manual simple</t>
        </is>
      </c>
      <c r="J37" s="2" t="inlineStr">
        <is>
          <t>Brix, densidad, CO2 disuelto</t>
        </is>
      </c>
      <c r="K37" s="2" t="inlineStr">
        <is>
          <t>MEDIA</t>
        </is>
      </c>
      <c r="L37" s="2" t="inlineStr">
        <is>
          <t>Post-pulso +4 h</t>
        </is>
      </c>
      <c r="M37" s="2" t="inlineStr">
        <is>
          <t>Sí</t>
        </is>
      </c>
      <c r="N37" s="2" t="inlineStr">
        <is>
          <t>10 min</t>
        </is>
      </c>
      <c r="O37" s="2" t="inlineStr"/>
      <c r="P37" s="6">
        <f>IF(O37="","",SUMIFS($O$2:O37,$A$2:A37,A37,$B$2:B37,B37))</f>
        <v/>
      </c>
      <c r="Q37" s="2" t="inlineStr">
        <is>
          <t>Ancla física; CO2 gaseoso y temperatura continúan a alta resolución.</t>
        </is>
      </c>
    </row>
    <row r="38">
      <c r="A38" s="2" t="inlineStr">
        <is>
          <t>Lote 1</t>
        </is>
      </c>
      <c r="B38" s="2" t="inlineStr">
        <is>
          <t>F3</t>
        </is>
      </c>
      <c r="C38" s="2" t="inlineStr">
        <is>
          <t>Nutrición conocida y trazable</t>
        </is>
      </c>
      <c r="D38" s="2" t="n">
        <v>75.25</v>
      </c>
      <c r="E38" s="3" t="n">
        <v>46289</v>
      </c>
      <c r="F38" s="4" t="n">
        <v>0.6666666666666666</v>
      </c>
      <c r="G38" s="2" t="inlineStr"/>
      <c r="H38" s="4" t="inlineStr"/>
      <c r="I38" s="2" t="inlineStr">
        <is>
          <t>Manual compleja</t>
        </is>
      </c>
      <c r="J38" s="2" t="inlineStr">
        <is>
          <t>Oculyze (X/Xd), biomasa, G, F, YAN/componentes disponibles, E, Gly, Brix, densidad</t>
        </is>
      </c>
      <c r="K38" s="2" t="inlineStr">
        <is>
          <t>ALTA</t>
        </is>
      </c>
      <c r="L38" s="2" t="inlineStr">
        <is>
          <t>Post-pulso +5.5 h</t>
        </is>
      </c>
      <c r="M38" s="2" t="inlineStr">
        <is>
          <t>Sí</t>
        </is>
      </c>
      <c r="N38" s="2" t="inlineStr">
        <is>
          <t>25 min</t>
        </is>
      </c>
      <c r="O38" s="2" t="inlineStr"/>
      <c r="P38" s="6">
        <f>IF(O38="","",SUMIFS($O$2:O38,$A$2:A38,A38,$B$2:B38,B38))</f>
        <v/>
      </c>
      <c r="Q38" s="2" t="inlineStr">
        <is>
          <t>Cerca del máximo diagnóstico de respuesta rápida (~5–6 h).</t>
        </is>
      </c>
    </row>
    <row r="39">
      <c r="A39" s="2" t="inlineStr">
        <is>
          <t>Lote 1</t>
        </is>
      </c>
      <c r="B39" s="2" t="inlineStr">
        <is>
          <t>F3</t>
        </is>
      </c>
      <c r="C39" s="2" t="inlineStr">
        <is>
          <t>Nutrición conocida y trazable</t>
        </is>
      </c>
      <c r="D39" s="2" t="n">
        <v>93.75</v>
      </c>
      <c r="E39" s="3" t="n">
        <v>46290</v>
      </c>
      <c r="F39" s="4" t="n">
        <v>0.4375</v>
      </c>
      <c r="G39" s="2" t="inlineStr"/>
      <c r="H39" s="4" t="inlineStr"/>
      <c r="I39" s="2" t="inlineStr">
        <is>
          <t>Manual compleja</t>
        </is>
      </c>
      <c r="J39" s="2" t="inlineStr">
        <is>
          <t>Oculyze (X/Xd), biomasa, G, F, YAN/componentes disponibles, E, Gly, Brix, densidad, CO2 disuelto</t>
        </is>
      </c>
      <c r="K39" s="2" t="inlineStr">
        <is>
          <t>ALTA</t>
        </is>
      </c>
      <c r="L39" s="2" t="inlineStr">
        <is>
          <t>Post-pulso +24 h</t>
        </is>
      </c>
      <c r="M39" s="2" t="inlineStr">
        <is>
          <t>Sí</t>
        </is>
      </c>
      <c r="N39" s="2" t="inlineStr">
        <is>
          <t>25 min</t>
        </is>
      </c>
      <c r="O39" s="2" t="inlineStr"/>
      <c r="P39" s="6">
        <f>IF(O39="","",SUMIFS($O$2:O39,$A$2:A39,A39,$B$2:B39,B39))</f>
        <v/>
      </c>
      <c r="Q39" s="2" t="inlineStr">
        <is>
          <t>Evalúa persistencia frente a reconvergencia del transitorio.</t>
        </is>
      </c>
    </row>
    <row r="40">
      <c r="A40" s="2" t="inlineStr">
        <is>
          <t>Lote 1</t>
        </is>
      </c>
      <c r="B40" s="2" t="inlineStr">
        <is>
          <t>F3</t>
        </is>
      </c>
      <c r="C40" s="2" t="inlineStr">
        <is>
          <t>Nutrición conocida y trazable</t>
        </is>
      </c>
      <c r="D40" s="2" t="n">
        <v>164.25</v>
      </c>
      <c r="E40" s="3" t="n">
        <v>46293</v>
      </c>
      <c r="F40" s="4" t="n">
        <v>0.375</v>
      </c>
      <c r="G40" s="2" t="inlineStr"/>
      <c r="H40" s="4" t="inlineStr"/>
      <c r="I40" s="2" t="inlineStr">
        <is>
          <t>Manual compleja</t>
        </is>
      </c>
      <c r="J40" s="2" t="inlineStr">
        <is>
          <t>Oculyze (X/Xd), biomasa, G, F, YAN/componentes disponibles, E, Gly, Brix, densidad, CO2 disuelto</t>
        </is>
      </c>
      <c r="K40" s="2" t="inlineStr">
        <is>
          <t>ALTA</t>
        </is>
      </c>
      <c r="L40" s="2" t="inlineStr">
        <is>
          <t>Post-pulso +94.5 h; terminación/cola</t>
        </is>
      </c>
      <c r="M40" s="2" t="inlineStr">
        <is>
          <t>Sí</t>
        </is>
      </c>
      <c r="N40" s="2" t="inlineStr">
        <is>
          <t>25 min</t>
        </is>
      </c>
      <c r="O40" s="2" t="inlineStr"/>
      <c r="P40" s="6">
        <f>IF(O40="","",SUMIFS($O$2:O40,$A$2:A40,A40,$B$2:B40,B40))</f>
        <v/>
      </c>
      <c r="Q40" s="2" t="inlineStr">
        <is>
          <t>Ancla fructosa residual, N, Xd y CO2 tras el fin de semana.</t>
        </is>
      </c>
    </row>
    <row r="41">
      <c r="A41" s="2" t="inlineStr">
        <is>
          <t>Lote 1</t>
        </is>
      </c>
      <c r="B41" s="2" t="inlineStr">
        <is>
          <t>F3</t>
        </is>
      </c>
      <c r="C41" s="2" t="inlineStr">
        <is>
          <t>Nutrición conocida y trazable</t>
        </is>
      </c>
      <c r="D41" s="2" t="n">
        <v>212.25</v>
      </c>
      <c r="E41" s="3" t="n">
        <v>46295</v>
      </c>
      <c r="F41" s="4" t="n">
        <v>0.375</v>
      </c>
      <c r="G41" s="2" t="inlineStr"/>
      <c r="H41" s="4" t="inlineStr"/>
      <c r="I41" s="2" t="inlineStr">
        <is>
          <t>Manual compleja</t>
        </is>
      </c>
      <c r="J41" s="2" t="inlineStr">
        <is>
          <t>Oculyze (X/Xd), G, F, YAN/componentes disponibles, E, Gly, Brix, densidad</t>
        </is>
      </c>
      <c r="K41" s="2" t="inlineStr">
        <is>
          <t>MEDIA</t>
        </is>
      </c>
      <c r="L41" s="2" t="inlineStr">
        <is>
          <t>Post-pulso +142.5 h; cola tardía</t>
        </is>
      </c>
      <c r="M41" s="2" t="inlineStr">
        <is>
          <t>Sí</t>
        </is>
      </c>
      <c r="N41" s="2" t="inlineStr">
        <is>
          <t>25 min</t>
        </is>
      </c>
      <c r="O41" s="2" t="inlineStr"/>
      <c r="P41" s="6">
        <f>IF(O41="","",SUMIFS($O$2:O41,$A$2:A41,A41,$B$2:B41,B41))</f>
        <v/>
      </c>
      <c r="Q41" s="2" t="inlineStr">
        <is>
          <t>Distingue terminación basal de un efecto nutricional sostenido.</t>
        </is>
      </c>
    </row>
    <row r="42">
      <c r="A42" s="2" t="inlineStr">
        <is>
          <t>Lote 1</t>
        </is>
      </c>
      <c r="B42" s="2" t="inlineStr">
        <is>
          <t>F3</t>
        </is>
      </c>
      <c r="C42" s="2" t="inlineStr">
        <is>
          <t>Nutrición conocida y trazable</t>
        </is>
      </c>
      <c r="D42" s="2" t="n">
        <v>260.25</v>
      </c>
      <c r="E42" s="3" t="n">
        <v>46297</v>
      </c>
      <c r="F42" s="4" t="n">
        <v>0.375</v>
      </c>
      <c r="G42" s="2" t="inlineStr"/>
      <c r="H42" s="4" t="inlineStr"/>
      <c r="I42" s="2" t="inlineStr">
        <is>
          <t>Manual compleja / final</t>
        </is>
      </c>
      <c r="J42" s="2" t="inlineStr">
        <is>
          <t>Oculyze (X/Xd), biomasa, G, F, YAN/componentes disponibles, E, Gly, Brix, densidad, CO2 disuelto</t>
        </is>
      </c>
      <c r="K42" s="2" t="inlineStr">
        <is>
          <t>ALTA</t>
        </is>
      </c>
      <c r="L42" s="2" t="inlineStr">
        <is>
          <t>Post-pulso +190.5 h; final planificado</t>
        </is>
      </c>
      <c r="M42" s="2" t="inlineStr">
        <is>
          <t>Sí</t>
        </is>
      </c>
      <c r="N42" s="2" t="inlineStr">
        <is>
          <t>25 min</t>
        </is>
      </c>
      <c r="O42" s="2" t="inlineStr"/>
      <c r="P42" s="6">
        <f>IF(O42="","",SUMIFS($O$2:O42,$A$2:A42,A42,$B$2:B42,B42))</f>
        <v/>
      </c>
      <c r="Q42" s="2" t="inlineStr">
        <is>
          <t>Si el criterio final ocurre antes, trasladar el conjunto y registrar la hora real.</t>
        </is>
      </c>
    </row>
    <row r="43">
      <c r="A43" s="2" t="inlineStr">
        <is>
          <t>Lote 1</t>
        </is>
      </c>
      <c r="B43" s="2" t="inlineStr">
        <is>
          <t>F3</t>
        </is>
      </c>
      <c r="C43" s="2" t="inlineStr">
        <is>
          <t>Nutrición conocida y trazable</t>
        </is>
      </c>
      <c r="D43" s="2" t="n">
        <v>69.75</v>
      </c>
      <c r="E43" s="3" t="n">
        <v>46289</v>
      </c>
      <c r="F43" s="4" t="n">
        <v>0.4375</v>
      </c>
      <c r="G43" s="2" t="inlineStr"/>
      <c r="H43" s="4" t="inlineStr"/>
      <c r="I43" s="2" t="inlineStr">
        <is>
          <t>Evento de proceso</t>
        </is>
      </c>
      <c r="J43" s="2" t="inlineStr">
        <is>
          <t>Producto, fabricante/tipo/lote, masas SFX/FDA, volumen, dosis calculada, hora inicio/fin, operador y observaciones</t>
        </is>
      </c>
      <c r="K43" s="2" t="inlineStr">
        <is>
          <t>ALTA</t>
        </is>
      </c>
      <c r="L43" s="2" t="inlineStr">
        <is>
          <t>Pulso nutricional trazable</t>
        </is>
      </c>
      <c r="M43" s="2" t="inlineStr">
        <is>
          <t>Sí</t>
        </is>
      </c>
      <c r="N43" s="2" t="inlineStr">
        <is>
          <t>10 min</t>
        </is>
      </c>
      <c r="O43" s="2" t="inlineStr"/>
      <c r="P43" s="6">
        <f>IF(O43="","",SUMIFS($O$2:O43,$A$2:A43,A43,$B$2:B43,B43))</f>
        <v/>
      </c>
      <c r="Q43" s="2" t="inlineStr">
        <is>
          <t>Criterio fijo causal t=69.75 h. Registrar tiempo real; no decidir con química futura.</t>
        </is>
      </c>
    </row>
    <row r="44">
      <c r="A44" s="2" t="inlineStr">
        <is>
          <t>Lote 2</t>
        </is>
      </c>
      <c r="B44" s="2" t="inlineStr">
        <is>
          <t>F1</t>
        </is>
      </c>
      <c r="C44" s="2" t="inlineStr">
        <is>
          <t>Nutrición conocida y trazable</t>
        </is>
      </c>
      <c r="D44" s="2" t="n">
        <v>-1</v>
      </c>
      <c r="E44" s="3" t="n">
        <v>46300</v>
      </c>
      <c r="F44" s="4" t="n">
        <v>0.4548611111111111</v>
      </c>
      <c r="G44" s="2" t="inlineStr"/>
      <c r="H44" s="4" t="inlineStr"/>
      <c r="I44" s="2" t="inlineStr">
        <is>
          <t>Continua / automática</t>
        </is>
      </c>
      <c r="J44" s="2" t="inlineStr">
        <is>
          <t>CO2 gaseoso y temperatura</t>
        </is>
      </c>
      <c r="K44" s="2" t="inlineStr">
        <is>
          <t>ALTA</t>
        </is>
      </c>
      <c r="L44" s="2" t="inlineStr">
        <is>
          <t>Desde −1 h hasta cierre</t>
        </is>
      </c>
      <c r="M44" s="2" t="inlineStr">
        <is>
          <t>No</t>
        </is>
      </c>
      <c r="N44" s="2" t="inlineStr">
        <is>
          <t>Continua</t>
        </is>
      </c>
      <c r="O44" s="2" t="inlineStr"/>
      <c r="P44" s="6">
        <f>IF(O44="","",SUMIFS($O$2:O44,$A$2:A44,A44,$B$2:B44,B44))</f>
        <v/>
      </c>
      <c r="Q44" s="2" t="inlineStr">
        <is>
          <t>Verificar timestamps, caudalímetro, blanco, hermeticidad, volumen/headspace e interrupciones.</t>
        </is>
      </c>
    </row>
    <row r="45">
      <c r="A45" s="2" t="inlineStr">
        <is>
          <t>Lote 2</t>
        </is>
      </c>
      <c r="B45" s="2" t="inlineStr">
        <is>
          <t>F1</t>
        </is>
      </c>
      <c r="C45" s="2" t="inlineStr">
        <is>
          <t>Nutrición conocida y trazable</t>
        </is>
      </c>
      <c r="D45" s="2" t="n">
        <v>-1</v>
      </c>
      <c r="E45" s="3" t="n">
        <v>46300</v>
      </c>
      <c r="F45" s="4" t="n">
        <v>0.4548611111111111</v>
      </c>
      <c r="G45" s="2" t="inlineStr"/>
      <c r="H45" s="4" t="inlineStr"/>
      <c r="I45" s="2" t="inlineStr">
        <is>
          <t>Continua / automática opcional</t>
        </is>
      </c>
      <c r="J45" s="2" t="inlineStr">
        <is>
          <t>O2 disuelto, sólo si existe sonda operacional validada</t>
        </is>
      </c>
      <c r="K45" s="2" t="inlineStr">
        <is>
          <t>OPCIONAL</t>
        </is>
      </c>
      <c r="L45" s="2" t="inlineStr">
        <is>
          <t>Desde antes de inocular hasta transición anaeróbica</t>
        </is>
      </c>
      <c r="M45" s="2" t="inlineStr">
        <is>
          <t>No</t>
        </is>
      </c>
      <c r="N45" s="2" t="inlineStr">
        <is>
          <t>Continua</t>
        </is>
      </c>
      <c r="O45" s="2" t="inlineStr"/>
      <c r="P45" s="6">
        <f>IF(O45="","",SUMIFS($O$2:O45,$A$2:A45,A45,$B$2:B45,B45))</f>
        <v/>
      </c>
      <c r="Q45" s="2" t="inlineStr">
        <is>
          <t>O2 es variable auxiliar de la capa CO2, no estado central; no comprometer mediciones prioritarias.</t>
        </is>
      </c>
    </row>
    <row r="46">
      <c r="A46" s="2" t="inlineStr">
        <is>
          <t>Lote 2</t>
        </is>
      </c>
      <c r="B46" s="2" t="inlineStr">
        <is>
          <t>F1</t>
        </is>
      </c>
      <c r="C46" s="2" t="inlineStr">
        <is>
          <t>Nutrición conocida y trazable</t>
        </is>
      </c>
      <c r="D46" s="2" t="n">
        <v>0.25</v>
      </c>
      <c r="E46" s="3" t="n">
        <v>46300</v>
      </c>
      <c r="F46" s="4" t="n">
        <v>0.5069444444444444</v>
      </c>
      <c r="G46" s="2" t="inlineStr"/>
      <c r="H46" s="4" t="inlineStr"/>
      <c r="I46" s="2" t="inlineStr">
        <is>
          <t>Manual compleja</t>
        </is>
      </c>
      <c r="J46" s="2" t="inlineStr">
        <is>
          <t>Oculyze (X/Xd), biomasa, G, F, YAN/componentes disponibles, E, Gly, Brix, densidad, CO2 disuelto, T de muestra</t>
        </is>
      </c>
      <c r="K46" s="2" t="inlineStr">
        <is>
          <t>ALTA</t>
        </is>
      </c>
      <c r="L46" s="2" t="inlineStr">
        <is>
          <t>Condición inicial posinoculación</t>
        </is>
      </c>
      <c r="M46" s="2" t="inlineStr">
        <is>
          <t>Sí</t>
        </is>
      </c>
      <c r="N46" s="2" t="inlineStr">
        <is>
          <t>25 min</t>
        </is>
      </c>
      <c r="O46" s="2" t="inlineStr"/>
      <c r="P46" s="6">
        <f>IF(O46="","",SUMIFS($O$2:O46,$A$2:A46,A46,$B$2:B46,B46))</f>
        <v/>
      </c>
      <c r="Q46" s="2" t="inlineStr">
        <is>
          <t>Sincronizar con fin de inoculación y adquisición; réplica técnica Oculyze si es viable.</t>
        </is>
      </c>
    </row>
    <row r="47">
      <c r="A47" s="2" t="inlineStr">
        <is>
          <t>Lote 2</t>
        </is>
      </c>
      <c r="B47" s="2" t="inlineStr">
        <is>
          <t>F1</t>
        </is>
      </c>
      <c r="C47" s="2" t="inlineStr">
        <is>
          <t>Nutrición conocida y trazable</t>
        </is>
      </c>
      <c r="D47" s="2" t="n">
        <v>20.25</v>
      </c>
      <c r="E47" s="3" t="n">
        <v>46301</v>
      </c>
      <c r="F47" s="4" t="n">
        <v>0.3402777777777778</v>
      </c>
      <c r="G47" s="2" t="inlineStr"/>
      <c r="H47" s="4" t="inlineStr"/>
      <c r="I47" s="2" t="inlineStr">
        <is>
          <t>Manual compleja</t>
        </is>
      </c>
      <c r="J47" s="2" t="inlineStr">
        <is>
          <t>Oculyze (X/Xd), biomasa, G, F, YAN/componentes disponibles, E, Gly, Brix, densidad, CO2 disuelto</t>
        </is>
      </c>
      <c r="K47" s="2" t="inlineStr">
        <is>
          <t>ALTA</t>
        </is>
      </c>
      <c r="L47" s="2" t="inlineStr">
        <is>
          <t>Pre-pulso −49.5 h; crecimiento/onset</t>
        </is>
      </c>
      <c r="M47" s="2" t="inlineStr">
        <is>
          <t>Sí</t>
        </is>
      </c>
      <c r="N47" s="2" t="inlineStr">
        <is>
          <t>25 min</t>
        </is>
      </c>
      <c r="O47" s="2" t="inlineStr"/>
      <c r="P47" s="6">
        <f>IF(O47="","",SUMIFS($O$2:O47,$A$2:A47,A47,$B$2:B47,B47))</f>
        <v/>
      </c>
      <c r="Q47" s="2" t="inlineStr">
        <is>
          <t>Ancla temprana cercana al onset de CO2 observado en LAB016–018.</t>
        </is>
      </c>
    </row>
    <row r="48">
      <c r="A48" s="2" t="inlineStr">
        <is>
          <t>Lote 2</t>
        </is>
      </c>
      <c r="B48" s="2" t="inlineStr">
        <is>
          <t>F1</t>
        </is>
      </c>
      <c r="C48" s="2" t="inlineStr">
        <is>
          <t>Nutrición conocida y trazable</t>
        </is>
      </c>
      <c r="D48" s="2" t="n">
        <v>44.25</v>
      </c>
      <c r="E48" s="3" t="n">
        <v>46302</v>
      </c>
      <c r="F48" s="4" t="n">
        <v>0.3402777777777778</v>
      </c>
      <c r="G48" s="2" t="inlineStr"/>
      <c r="H48" s="4" t="inlineStr"/>
      <c r="I48" s="2" t="inlineStr">
        <is>
          <t>Manual compleja</t>
        </is>
      </c>
      <c r="J48" s="2" t="inlineStr">
        <is>
          <t>Oculyze (X/Xd), biomasa, G, F, YAN/componentes disponibles, E, Gly, Brix, densidad</t>
        </is>
      </c>
      <c r="K48" s="2" t="inlineStr">
        <is>
          <t>ALTA</t>
        </is>
      </c>
      <c r="L48" s="2" t="inlineStr">
        <is>
          <t>Pre-pulso −25.5 h; crecimiento/pico</t>
        </is>
      </c>
      <c r="M48" s="2" t="inlineStr">
        <is>
          <t>Sí</t>
        </is>
      </c>
      <c r="N48" s="2" t="inlineStr">
        <is>
          <t>25 min</t>
        </is>
      </c>
      <c r="O48" s="2" t="inlineStr"/>
      <c r="P48" s="6">
        <f>IF(O48="","",SUMIFS($O$2:O48,$A$2:A48,A48,$B$2:B48,B48))</f>
        <v/>
      </c>
      <c r="Q48" s="2" t="inlineStr">
        <is>
          <t>Caracteriza máximo de biomasa y metabolismo antes del tratamiento.</t>
        </is>
      </c>
    </row>
    <row r="49">
      <c r="A49" s="2" t="inlineStr">
        <is>
          <t>Lote 2</t>
        </is>
      </c>
      <c r="B49" s="2" t="inlineStr">
        <is>
          <t>F1</t>
        </is>
      </c>
      <c r="C49" s="2" t="inlineStr">
        <is>
          <t>Nutrición conocida y trazable</t>
        </is>
      </c>
      <c r="D49" s="2" t="n">
        <v>68.25</v>
      </c>
      <c r="E49" s="3" t="n">
        <v>46303</v>
      </c>
      <c r="F49" s="4" t="n">
        <v>0.3402777777777778</v>
      </c>
      <c r="G49" s="2" t="inlineStr"/>
      <c r="H49" s="4" t="inlineStr"/>
      <c r="I49" s="2" t="inlineStr">
        <is>
          <t>Manual compleja</t>
        </is>
      </c>
      <c r="J49" s="2" t="inlineStr">
        <is>
          <t>Oculyze (X/Xd), biomasa, G, F, YAN/componentes disponibles, E, Gly, Brix, densidad, CO2 disuelto</t>
        </is>
      </c>
      <c r="K49" s="2" t="inlineStr">
        <is>
          <t>ALTA</t>
        </is>
      </c>
      <c r="L49" s="2" t="inlineStr">
        <is>
          <t>Pre-pulso −1.5 h</t>
        </is>
      </c>
      <c r="M49" s="2" t="inlineStr">
        <is>
          <t>Sí</t>
        </is>
      </c>
      <c r="N49" s="2" t="inlineStr">
        <is>
          <t>25 min</t>
        </is>
      </c>
      <c r="O49" s="2" t="inlineStr"/>
      <c r="P49" s="6">
        <f>IF(O49="","",SUMIFS($O$2:O49,$A$2:A49,A49,$B$2:B49,B49))</f>
        <v/>
      </c>
      <c r="Q49" s="2" t="inlineStr">
        <is>
          <t>Baseline emparejada antes de iniciar la secuencia de eventos.</t>
        </is>
      </c>
    </row>
    <row r="50">
      <c r="A50" s="2" t="inlineStr">
        <is>
          <t>Lote 2</t>
        </is>
      </c>
      <c r="B50" s="2" t="inlineStr">
        <is>
          <t>F1</t>
        </is>
      </c>
      <c r="C50" s="2" t="inlineStr">
        <is>
          <t>Nutrición conocida y trazable</t>
        </is>
      </c>
      <c r="D50" s="2" t="n">
        <v>71.75</v>
      </c>
      <c r="E50" s="3" t="n">
        <v>46303</v>
      </c>
      <c r="F50" s="4" t="n">
        <v>0.4861111111111111</v>
      </c>
      <c r="G50" s="2" t="inlineStr"/>
      <c r="H50" s="4" t="inlineStr"/>
      <c r="I50" s="2" t="inlineStr">
        <is>
          <t>Manual compleja</t>
        </is>
      </c>
      <c r="J50" s="2" t="inlineStr">
        <is>
          <t>Oculyze (X/Xd), G, F, YAN/componentes disponibles, Brix, densidad</t>
        </is>
      </c>
      <c r="K50" s="2" t="inlineStr">
        <is>
          <t>ALTA</t>
        </is>
      </c>
      <c r="L50" s="2" t="inlineStr">
        <is>
          <t>Post-pulso +2 h</t>
        </is>
      </c>
      <c r="M50" s="2" t="inlineStr">
        <is>
          <t>Sí</t>
        </is>
      </c>
      <c r="N50" s="2" t="inlineStr">
        <is>
          <t>25 min</t>
        </is>
      </c>
      <c r="O50" s="2" t="inlineStr"/>
      <c r="P50" s="6">
        <f>IF(O50="","",SUMIFS($O$2:O50,$A$2:A50,A50,$B$2:B50,B50))</f>
        <v/>
      </c>
      <c r="Q50" s="2" t="inlineStr">
        <is>
          <t>Captura retardo/subida temprana y cambio de N sin inventar ΔN.</t>
        </is>
      </c>
    </row>
    <row r="51">
      <c r="A51" s="2" t="inlineStr">
        <is>
          <t>Lote 2</t>
        </is>
      </c>
      <c r="B51" s="2" t="inlineStr">
        <is>
          <t>F1</t>
        </is>
      </c>
      <c r="C51" s="2" t="inlineStr">
        <is>
          <t>Nutrición conocida y trazable</t>
        </is>
      </c>
      <c r="D51" s="2" t="n">
        <v>73.75</v>
      </c>
      <c r="E51" s="3" t="n">
        <v>46303</v>
      </c>
      <c r="F51" s="4" t="n">
        <v>0.5694444444444444</v>
      </c>
      <c r="G51" s="2" t="inlineStr"/>
      <c r="H51" s="4" t="inlineStr"/>
      <c r="I51" s="2" t="inlineStr">
        <is>
          <t>Manual simple</t>
        </is>
      </c>
      <c r="J51" s="2" t="inlineStr">
        <is>
          <t>Brix, densidad, CO2 disuelto</t>
        </is>
      </c>
      <c r="K51" s="2" t="inlineStr">
        <is>
          <t>MEDIA</t>
        </is>
      </c>
      <c r="L51" s="2" t="inlineStr">
        <is>
          <t>Post-pulso +4 h</t>
        </is>
      </c>
      <c r="M51" s="2" t="inlineStr">
        <is>
          <t>Sí</t>
        </is>
      </c>
      <c r="N51" s="2" t="inlineStr">
        <is>
          <t>10 min</t>
        </is>
      </c>
      <c r="O51" s="2" t="inlineStr"/>
      <c r="P51" s="6">
        <f>IF(O51="","",SUMIFS($O$2:O51,$A$2:A51,A51,$B$2:B51,B51))</f>
        <v/>
      </c>
      <c r="Q51" s="2" t="inlineStr">
        <is>
          <t>Ancla física; CO2 gaseoso y temperatura continúan a alta resolución.</t>
        </is>
      </c>
    </row>
    <row r="52">
      <c r="A52" s="2" t="inlineStr">
        <is>
          <t>Lote 2</t>
        </is>
      </c>
      <c r="B52" s="2" t="inlineStr">
        <is>
          <t>F1</t>
        </is>
      </c>
      <c r="C52" s="2" t="inlineStr">
        <is>
          <t>Nutrición conocida y trazable</t>
        </is>
      </c>
      <c r="D52" s="2" t="n">
        <v>75.25</v>
      </c>
      <c r="E52" s="3" t="n">
        <v>46303</v>
      </c>
      <c r="F52" s="4" t="n">
        <v>0.6319444444444444</v>
      </c>
      <c r="G52" s="2" t="inlineStr"/>
      <c r="H52" s="4" t="inlineStr"/>
      <c r="I52" s="2" t="inlineStr">
        <is>
          <t>Manual compleja</t>
        </is>
      </c>
      <c r="J52" s="2" t="inlineStr">
        <is>
          <t>Oculyze (X/Xd), biomasa, G, F, YAN/componentes disponibles, E, Gly, Brix, densidad</t>
        </is>
      </c>
      <c r="K52" s="2" t="inlineStr">
        <is>
          <t>ALTA</t>
        </is>
      </c>
      <c r="L52" s="2" t="inlineStr">
        <is>
          <t>Post-pulso +5.5 h</t>
        </is>
      </c>
      <c r="M52" s="2" t="inlineStr">
        <is>
          <t>Sí</t>
        </is>
      </c>
      <c r="N52" s="2" t="inlineStr">
        <is>
          <t>25 min</t>
        </is>
      </c>
      <c r="O52" s="2" t="inlineStr"/>
      <c r="P52" s="6">
        <f>IF(O52="","",SUMIFS($O$2:O52,$A$2:A52,A52,$B$2:B52,B52))</f>
        <v/>
      </c>
      <c r="Q52" s="2" t="inlineStr">
        <is>
          <t>Cerca del máximo diagnóstico de respuesta rápida (~5–6 h).</t>
        </is>
      </c>
    </row>
    <row r="53">
      <c r="A53" s="2" t="inlineStr">
        <is>
          <t>Lote 2</t>
        </is>
      </c>
      <c r="B53" s="2" t="inlineStr">
        <is>
          <t>F1</t>
        </is>
      </c>
      <c r="C53" s="2" t="inlineStr">
        <is>
          <t>Nutrición conocida y trazable</t>
        </is>
      </c>
      <c r="D53" s="2" t="n">
        <v>93.75</v>
      </c>
      <c r="E53" s="3" t="n">
        <v>46304</v>
      </c>
      <c r="F53" s="4" t="n">
        <v>0.4027777777777778</v>
      </c>
      <c r="G53" s="2" t="inlineStr"/>
      <c r="H53" s="4" t="inlineStr"/>
      <c r="I53" s="2" t="inlineStr">
        <is>
          <t>Manual compleja</t>
        </is>
      </c>
      <c r="J53" s="2" t="inlineStr">
        <is>
          <t>Oculyze (X/Xd), biomasa, G, F, YAN/componentes disponibles, E, Gly, Brix, densidad, CO2 disuelto</t>
        </is>
      </c>
      <c r="K53" s="2" t="inlineStr">
        <is>
          <t>ALTA</t>
        </is>
      </c>
      <c r="L53" s="2" t="inlineStr">
        <is>
          <t>Post-pulso +24 h</t>
        </is>
      </c>
      <c r="M53" s="2" t="inlineStr">
        <is>
          <t>Sí</t>
        </is>
      </c>
      <c r="N53" s="2" t="inlineStr">
        <is>
          <t>25 min</t>
        </is>
      </c>
      <c r="O53" s="2" t="inlineStr"/>
      <c r="P53" s="6">
        <f>IF(O53="","",SUMIFS($O$2:O53,$A$2:A53,A53,$B$2:B53,B53))</f>
        <v/>
      </c>
      <c r="Q53" s="2" t="inlineStr">
        <is>
          <t>Evalúa persistencia frente a reconvergencia del transitorio.</t>
        </is>
      </c>
    </row>
    <row r="54">
      <c r="A54" s="2" t="inlineStr">
        <is>
          <t>Lote 2</t>
        </is>
      </c>
      <c r="B54" s="2" t="inlineStr">
        <is>
          <t>F1</t>
        </is>
      </c>
      <c r="C54" s="2" t="inlineStr">
        <is>
          <t>Nutrición conocida y trazable</t>
        </is>
      </c>
      <c r="D54" s="2" t="n">
        <v>164.25</v>
      </c>
      <c r="E54" s="3" t="n">
        <v>46307</v>
      </c>
      <c r="F54" s="4" t="n">
        <v>0.3402777777777778</v>
      </c>
      <c r="G54" s="2" t="inlineStr"/>
      <c r="H54" s="4" t="inlineStr"/>
      <c r="I54" s="2" t="inlineStr">
        <is>
          <t>Manual compleja</t>
        </is>
      </c>
      <c r="J54" s="2" t="inlineStr">
        <is>
          <t>Oculyze (X/Xd), biomasa, G, F, YAN/componentes disponibles, E, Gly, Brix, densidad, CO2 disuelto</t>
        </is>
      </c>
      <c r="K54" s="2" t="inlineStr">
        <is>
          <t>ALTA</t>
        </is>
      </c>
      <c r="L54" s="2" t="inlineStr">
        <is>
          <t>Post-pulso +94.5 h; terminación/cola</t>
        </is>
      </c>
      <c r="M54" s="2" t="inlineStr">
        <is>
          <t>Sí</t>
        </is>
      </c>
      <c r="N54" s="2" t="inlineStr">
        <is>
          <t>25 min</t>
        </is>
      </c>
      <c r="O54" s="2" t="inlineStr"/>
      <c r="P54" s="6">
        <f>IF(O54="","",SUMIFS($O$2:O54,$A$2:A54,A54,$B$2:B54,B54))</f>
        <v/>
      </c>
      <c r="Q54" s="2" t="inlineStr">
        <is>
          <t>Ancla fructosa residual, N, Xd y CO2 tras el fin de semana.</t>
        </is>
      </c>
    </row>
    <row r="55">
      <c r="A55" s="2" t="inlineStr">
        <is>
          <t>Lote 2</t>
        </is>
      </c>
      <c r="B55" s="2" t="inlineStr">
        <is>
          <t>F1</t>
        </is>
      </c>
      <c r="C55" s="2" t="inlineStr">
        <is>
          <t>Nutrición conocida y trazable</t>
        </is>
      </c>
      <c r="D55" s="2" t="n">
        <v>212.25</v>
      </c>
      <c r="E55" s="3" t="n">
        <v>46309</v>
      </c>
      <c r="F55" s="4" t="n">
        <v>0.3402777777777778</v>
      </c>
      <c r="G55" s="2" t="inlineStr"/>
      <c r="H55" s="4" t="inlineStr"/>
      <c r="I55" s="2" t="inlineStr">
        <is>
          <t>Manual compleja</t>
        </is>
      </c>
      <c r="J55" s="2" t="inlineStr">
        <is>
          <t>Oculyze (X/Xd), G, F, YAN/componentes disponibles, E, Gly, Brix, densidad</t>
        </is>
      </c>
      <c r="K55" s="2" t="inlineStr">
        <is>
          <t>MEDIA</t>
        </is>
      </c>
      <c r="L55" s="2" t="inlineStr">
        <is>
          <t>Post-pulso +142.5 h; cola tardía</t>
        </is>
      </c>
      <c r="M55" s="2" t="inlineStr">
        <is>
          <t>Sí</t>
        </is>
      </c>
      <c r="N55" s="2" t="inlineStr">
        <is>
          <t>25 min</t>
        </is>
      </c>
      <c r="O55" s="2" t="inlineStr"/>
      <c r="P55" s="6">
        <f>IF(O55="","",SUMIFS($O$2:O55,$A$2:A55,A55,$B$2:B55,B55))</f>
        <v/>
      </c>
      <c r="Q55" s="2" t="inlineStr">
        <is>
          <t>Distingue terminación basal de un efecto nutricional sostenido.</t>
        </is>
      </c>
    </row>
    <row r="56">
      <c r="A56" s="2" t="inlineStr">
        <is>
          <t>Lote 2</t>
        </is>
      </c>
      <c r="B56" s="2" t="inlineStr">
        <is>
          <t>F1</t>
        </is>
      </c>
      <c r="C56" s="2" t="inlineStr">
        <is>
          <t>Nutrición conocida y trazable</t>
        </is>
      </c>
      <c r="D56" s="2" t="n">
        <v>260.25</v>
      </c>
      <c r="E56" s="3" t="n">
        <v>46311</v>
      </c>
      <c r="F56" s="4" t="n">
        <v>0.3402777777777778</v>
      </c>
      <c r="G56" s="2" t="inlineStr"/>
      <c r="H56" s="4" t="inlineStr"/>
      <c r="I56" s="2" t="inlineStr">
        <is>
          <t>Manual compleja / final</t>
        </is>
      </c>
      <c r="J56" s="2" t="inlineStr">
        <is>
          <t>Oculyze (X/Xd), biomasa, G, F, YAN/componentes disponibles, E, Gly, Brix, densidad, CO2 disuelto</t>
        </is>
      </c>
      <c r="K56" s="2" t="inlineStr">
        <is>
          <t>ALTA</t>
        </is>
      </c>
      <c r="L56" s="2" t="inlineStr">
        <is>
          <t>Post-pulso +190.5 h; final planificado</t>
        </is>
      </c>
      <c r="M56" s="2" t="inlineStr">
        <is>
          <t>Sí</t>
        </is>
      </c>
      <c r="N56" s="2" t="inlineStr">
        <is>
          <t>25 min</t>
        </is>
      </c>
      <c r="O56" s="2" t="inlineStr"/>
      <c r="P56" s="6">
        <f>IF(O56="","",SUMIFS($O$2:O56,$A$2:A56,A56,$B$2:B56,B56))</f>
        <v/>
      </c>
      <c r="Q56" s="2" t="inlineStr">
        <is>
          <t>Si el criterio final ocurre antes, trasladar el conjunto y registrar la hora real.</t>
        </is>
      </c>
    </row>
    <row r="57">
      <c r="A57" s="2" t="inlineStr">
        <is>
          <t>Lote 2</t>
        </is>
      </c>
      <c r="B57" s="2" t="inlineStr">
        <is>
          <t>F1</t>
        </is>
      </c>
      <c r="C57" s="2" t="inlineStr">
        <is>
          <t>Nutrición conocida y trazable</t>
        </is>
      </c>
      <c r="D57" s="2" t="n">
        <v>69.75</v>
      </c>
      <c r="E57" s="3" t="n">
        <v>46303</v>
      </c>
      <c r="F57" s="4" t="n">
        <v>0.4027777777777778</v>
      </c>
      <c r="G57" s="2" t="inlineStr"/>
      <c r="H57" s="4" t="inlineStr"/>
      <c r="I57" s="2" t="inlineStr">
        <is>
          <t>Evento de proceso</t>
        </is>
      </c>
      <c r="J57" s="2" t="inlineStr">
        <is>
          <t>Producto, fabricante/tipo/lote, masas SFX/FDA, volumen, dosis calculada, hora inicio/fin, operador y observaciones</t>
        </is>
      </c>
      <c r="K57" s="2" t="inlineStr">
        <is>
          <t>ALTA</t>
        </is>
      </c>
      <c r="L57" s="2" t="inlineStr">
        <is>
          <t>Pulso nutricional trazable</t>
        </is>
      </c>
      <c r="M57" s="2" t="inlineStr">
        <is>
          <t>Sí</t>
        </is>
      </c>
      <c r="N57" s="2" t="inlineStr">
        <is>
          <t>10 min</t>
        </is>
      </c>
      <c r="O57" s="2" t="inlineStr"/>
      <c r="P57" s="6">
        <f>IF(O57="","",SUMIFS($O$2:O57,$A$2:A57,A57,$B$2:B57,B57))</f>
        <v/>
      </c>
      <c r="Q57" s="2" t="inlineStr">
        <is>
          <t>Criterio fijo causal t=69.75 h. Registrar tiempo real; no decidir con química futura.</t>
        </is>
      </c>
    </row>
    <row r="58">
      <c r="A58" s="2" t="inlineStr">
        <is>
          <t>Lote 2</t>
        </is>
      </c>
      <c r="B58" s="2" t="inlineStr">
        <is>
          <t>F2</t>
        </is>
      </c>
      <c r="C58" s="2" t="inlineStr">
        <is>
          <t>Nutrición conocida y trazable</t>
        </is>
      </c>
      <c r="D58" s="2" t="n">
        <v>-1</v>
      </c>
      <c r="E58" s="3" t="n">
        <v>46300</v>
      </c>
      <c r="F58" s="4" t="n">
        <v>0.4722222222222222</v>
      </c>
      <c r="G58" s="2" t="inlineStr"/>
      <c r="H58" s="4" t="inlineStr"/>
      <c r="I58" s="2" t="inlineStr">
        <is>
          <t>Continua / automática</t>
        </is>
      </c>
      <c r="J58" s="2" t="inlineStr">
        <is>
          <t>CO2 gaseoso y temperatura</t>
        </is>
      </c>
      <c r="K58" s="2" t="inlineStr">
        <is>
          <t>ALTA</t>
        </is>
      </c>
      <c r="L58" s="2" t="inlineStr">
        <is>
          <t>Desde −1 h hasta cierre</t>
        </is>
      </c>
      <c r="M58" s="2" t="inlineStr">
        <is>
          <t>No</t>
        </is>
      </c>
      <c r="N58" s="2" t="inlineStr">
        <is>
          <t>Continua</t>
        </is>
      </c>
      <c r="O58" s="2" t="inlineStr"/>
      <c r="P58" s="6">
        <f>IF(O58="","",SUMIFS($O$2:O58,$A$2:A58,A58,$B$2:B58,B58))</f>
        <v/>
      </c>
      <c r="Q58" s="2" t="inlineStr">
        <is>
          <t>Verificar timestamps, caudalímetro, blanco, hermeticidad, volumen/headspace e interrupciones.</t>
        </is>
      </c>
    </row>
    <row r="59">
      <c r="A59" s="2" t="inlineStr">
        <is>
          <t>Lote 2</t>
        </is>
      </c>
      <c r="B59" s="2" t="inlineStr">
        <is>
          <t>F2</t>
        </is>
      </c>
      <c r="C59" s="2" t="inlineStr">
        <is>
          <t>Nutrición conocida y trazable</t>
        </is>
      </c>
      <c r="D59" s="2" t="n">
        <v>-1</v>
      </c>
      <c r="E59" s="3" t="n">
        <v>46300</v>
      </c>
      <c r="F59" s="4" t="n">
        <v>0.4722222222222222</v>
      </c>
      <c r="G59" s="2" t="inlineStr"/>
      <c r="H59" s="4" t="inlineStr"/>
      <c r="I59" s="2" t="inlineStr">
        <is>
          <t>Continua / automática opcional</t>
        </is>
      </c>
      <c r="J59" s="2" t="inlineStr">
        <is>
          <t>O2 disuelto, sólo si existe sonda operacional validada</t>
        </is>
      </c>
      <c r="K59" s="2" t="inlineStr">
        <is>
          <t>OPCIONAL</t>
        </is>
      </c>
      <c r="L59" s="2" t="inlineStr">
        <is>
          <t>Desde antes de inocular hasta transición anaeróbica</t>
        </is>
      </c>
      <c r="M59" s="2" t="inlineStr">
        <is>
          <t>No</t>
        </is>
      </c>
      <c r="N59" s="2" t="inlineStr">
        <is>
          <t>Continua</t>
        </is>
      </c>
      <c r="O59" s="2" t="inlineStr"/>
      <c r="P59" s="6">
        <f>IF(O59="","",SUMIFS($O$2:O59,$A$2:A59,A59,$B$2:B59,B59))</f>
        <v/>
      </c>
      <c r="Q59" s="2" t="inlineStr">
        <is>
          <t>O2 es variable auxiliar de la capa CO2, no estado central; no comprometer mediciones prioritarias.</t>
        </is>
      </c>
    </row>
    <row r="60">
      <c r="A60" s="2" t="inlineStr">
        <is>
          <t>Lote 2</t>
        </is>
      </c>
      <c r="B60" s="2" t="inlineStr">
        <is>
          <t>F2</t>
        </is>
      </c>
      <c r="C60" s="2" t="inlineStr">
        <is>
          <t>Nutrición conocida y trazable</t>
        </is>
      </c>
      <c r="D60" s="2" t="n">
        <v>0.25</v>
      </c>
      <c r="E60" s="3" t="n">
        <v>46300</v>
      </c>
      <c r="F60" s="4" t="n">
        <v>0.5243055555555556</v>
      </c>
      <c r="G60" s="2" t="inlineStr"/>
      <c r="H60" s="4" t="inlineStr"/>
      <c r="I60" s="2" t="inlineStr">
        <is>
          <t>Manual compleja</t>
        </is>
      </c>
      <c r="J60" s="2" t="inlineStr">
        <is>
          <t>Oculyze (X/Xd), biomasa, G, F, YAN/componentes disponibles, E, Gly, Brix, densidad, CO2 disuelto, T de muestra</t>
        </is>
      </c>
      <c r="K60" s="2" t="inlineStr">
        <is>
          <t>ALTA</t>
        </is>
      </c>
      <c r="L60" s="2" t="inlineStr">
        <is>
          <t>Condición inicial posinoculación</t>
        </is>
      </c>
      <c r="M60" s="2" t="inlineStr">
        <is>
          <t>Sí</t>
        </is>
      </c>
      <c r="N60" s="2" t="inlineStr">
        <is>
          <t>25 min</t>
        </is>
      </c>
      <c r="O60" s="2" t="inlineStr"/>
      <c r="P60" s="6">
        <f>IF(O60="","",SUMIFS($O$2:O60,$A$2:A60,A60,$B$2:B60,B60))</f>
        <v/>
      </c>
      <c r="Q60" s="2" t="inlineStr">
        <is>
          <t>Sincronizar con fin de inoculación y adquisición; réplica técnica Oculyze si es viable.</t>
        </is>
      </c>
    </row>
    <row r="61">
      <c r="A61" s="2" t="inlineStr">
        <is>
          <t>Lote 2</t>
        </is>
      </c>
      <c r="B61" s="2" t="inlineStr">
        <is>
          <t>F2</t>
        </is>
      </c>
      <c r="C61" s="2" t="inlineStr">
        <is>
          <t>Nutrición conocida y trazable</t>
        </is>
      </c>
      <c r="D61" s="2" t="n">
        <v>20.25</v>
      </c>
      <c r="E61" s="3" t="n">
        <v>46301</v>
      </c>
      <c r="F61" s="4" t="n">
        <v>0.3576388888888889</v>
      </c>
      <c r="G61" s="2" t="inlineStr"/>
      <c r="H61" s="4" t="inlineStr"/>
      <c r="I61" s="2" t="inlineStr">
        <is>
          <t>Manual compleja</t>
        </is>
      </c>
      <c r="J61" s="2" t="inlineStr">
        <is>
          <t>Oculyze (X/Xd), biomasa, G, F, YAN/componentes disponibles, E, Gly, Brix, densidad, CO2 disuelto</t>
        </is>
      </c>
      <c r="K61" s="2" t="inlineStr">
        <is>
          <t>ALTA</t>
        </is>
      </c>
      <c r="L61" s="2" t="inlineStr">
        <is>
          <t>Pre-pulso −49.5 h; crecimiento/onset</t>
        </is>
      </c>
      <c r="M61" s="2" t="inlineStr">
        <is>
          <t>Sí</t>
        </is>
      </c>
      <c r="N61" s="2" t="inlineStr">
        <is>
          <t>25 min</t>
        </is>
      </c>
      <c r="O61" s="2" t="inlineStr"/>
      <c r="P61" s="6">
        <f>IF(O61="","",SUMIFS($O$2:O61,$A$2:A61,A61,$B$2:B61,B61))</f>
        <v/>
      </c>
      <c r="Q61" s="2" t="inlineStr">
        <is>
          <t>Ancla temprana cercana al onset de CO2 observado en LAB016–018.</t>
        </is>
      </c>
    </row>
    <row r="62">
      <c r="A62" s="2" t="inlineStr">
        <is>
          <t>Lote 2</t>
        </is>
      </c>
      <c r="B62" s="2" t="inlineStr">
        <is>
          <t>F2</t>
        </is>
      </c>
      <c r="C62" s="2" t="inlineStr">
        <is>
          <t>Nutrición conocida y trazable</t>
        </is>
      </c>
      <c r="D62" s="2" t="n">
        <v>44.25</v>
      </c>
      <c r="E62" s="3" t="n">
        <v>46302</v>
      </c>
      <c r="F62" s="4" t="n">
        <v>0.3576388888888889</v>
      </c>
      <c r="G62" s="2" t="inlineStr"/>
      <c r="H62" s="4" t="inlineStr"/>
      <c r="I62" s="2" t="inlineStr">
        <is>
          <t>Manual compleja</t>
        </is>
      </c>
      <c r="J62" s="2" t="inlineStr">
        <is>
          <t>Oculyze (X/Xd), biomasa, G, F, YAN/componentes disponibles, E, Gly, Brix, densidad</t>
        </is>
      </c>
      <c r="K62" s="2" t="inlineStr">
        <is>
          <t>ALTA</t>
        </is>
      </c>
      <c r="L62" s="2" t="inlineStr">
        <is>
          <t>Pre-pulso −25.5 h; crecimiento/pico</t>
        </is>
      </c>
      <c r="M62" s="2" t="inlineStr">
        <is>
          <t>Sí</t>
        </is>
      </c>
      <c r="N62" s="2" t="inlineStr">
        <is>
          <t>25 min</t>
        </is>
      </c>
      <c r="O62" s="2" t="inlineStr"/>
      <c r="P62" s="6">
        <f>IF(O62="","",SUMIFS($O$2:O62,$A$2:A62,A62,$B$2:B62,B62))</f>
        <v/>
      </c>
      <c r="Q62" s="2" t="inlineStr">
        <is>
          <t>Caracteriza máximo de biomasa y metabolismo antes del tratamiento.</t>
        </is>
      </c>
    </row>
    <row r="63">
      <c r="A63" s="2" t="inlineStr">
        <is>
          <t>Lote 2</t>
        </is>
      </c>
      <c r="B63" s="2" t="inlineStr">
        <is>
          <t>F2</t>
        </is>
      </c>
      <c r="C63" s="2" t="inlineStr">
        <is>
          <t>Nutrición conocida y trazable</t>
        </is>
      </c>
      <c r="D63" s="2" t="n">
        <v>68.25</v>
      </c>
      <c r="E63" s="3" t="n">
        <v>46303</v>
      </c>
      <c r="F63" s="4" t="n">
        <v>0.3576388888888889</v>
      </c>
      <c r="G63" s="2" t="inlineStr"/>
      <c r="H63" s="4" t="inlineStr"/>
      <c r="I63" s="2" t="inlineStr">
        <is>
          <t>Manual compleja</t>
        </is>
      </c>
      <c r="J63" s="2" t="inlineStr">
        <is>
          <t>Oculyze (X/Xd), biomasa, G, F, YAN/componentes disponibles, E, Gly, Brix, densidad, CO2 disuelto</t>
        </is>
      </c>
      <c r="K63" s="2" t="inlineStr">
        <is>
          <t>ALTA</t>
        </is>
      </c>
      <c r="L63" s="2" t="inlineStr">
        <is>
          <t>Pre-pulso −1.5 h</t>
        </is>
      </c>
      <c r="M63" s="2" t="inlineStr">
        <is>
          <t>Sí</t>
        </is>
      </c>
      <c r="N63" s="2" t="inlineStr">
        <is>
          <t>25 min</t>
        </is>
      </c>
      <c r="O63" s="2" t="inlineStr"/>
      <c r="P63" s="6">
        <f>IF(O63="","",SUMIFS($O$2:O63,$A$2:A63,A63,$B$2:B63,B63))</f>
        <v/>
      </c>
      <c r="Q63" s="2" t="inlineStr">
        <is>
          <t>Baseline emparejada antes de iniciar la secuencia de eventos.</t>
        </is>
      </c>
    </row>
    <row r="64">
      <c r="A64" s="2" t="inlineStr">
        <is>
          <t>Lote 2</t>
        </is>
      </c>
      <c r="B64" s="2" t="inlineStr">
        <is>
          <t>F2</t>
        </is>
      </c>
      <c r="C64" s="2" t="inlineStr">
        <is>
          <t>Nutrición conocida y trazable</t>
        </is>
      </c>
      <c r="D64" s="2" t="n">
        <v>71.75</v>
      </c>
      <c r="E64" s="3" t="n">
        <v>46303</v>
      </c>
      <c r="F64" s="4" t="n">
        <v>0.5034722222222222</v>
      </c>
      <c r="G64" s="2" t="inlineStr"/>
      <c r="H64" s="4" t="inlineStr"/>
      <c r="I64" s="2" t="inlineStr">
        <is>
          <t>Manual compleja</t>
        </is>
      </c>
      <c r="J64" s="2" t="inlineStr">
        <is>
          <t>Oculyze (X/Xd), G, F, YAN/componentes disponibles, Brix, densidad</t>
        </is>
      </c>
      <c r="K64" s="2" t="inlineStr">
        <is>
          <t>ALTA</t>
        </is>
      </c>
      <c r="L64" s="2" t="inlineStr">
        <is>
          <t>Post-pulso +2 h</t>
        </is>
      </c>
      <c r="M64" s="2" t="inlineStr">
        <is>
          <t>Sí</t>
        </is>
      </c>
      <c r="N64" s="2" t="inlineStr">
        <is>
          <t>25 min</t>
        </is>
      </c>
      <c r="O64" s="2" t="inlineStr"/>
      <c r="P64" s="6">
        <f>IF(O64="","",SUMIFS($O$2:O64,$A$2:A64,A64,$B$2:B64,B64))</f>
        <v/>
      </c>
      <c r="Q64" s="2" t="inlineStr">
        <is>
          <t>Captura retardo/subida temprana y cambio de N sin inventar ΔN.</t>
        </is>
      </c>
    </row>
    <row r="65">
      <c r="A65" s="2" t="inlineStr">
        <is>
          <t>Lote 2</t>
        </is>
      </c>
      <c r="B65" s="2" t="inlineStr">
        <is>
          <t>F2</t>
        </is>
      </c>
      <c r="C65" s="2" t="inlineStr">
        <is>
          <t>Nutrición conocida y trazable</t>
        </is>
      </c>
      <c r="D65" s="2" t="n">
        <v>73.75</v>
      </c>
      <c r="E65" s="3" t="n">
        <v>46303</v>
      </c>
      <c r="F65" s="4" t="n">
        <v>0.5868055555555556</v>
      </c>
      <c r="G65" s="2" t="inlineStr"/>
      <c r="H65" s="4" t="inlineStr"/>
      <c r="I65" s="2" t="inlineStr">
        <is>
          <t>Manual simple</t>
        </is>
      </c>
      <c r="J65" s="2" t="inlineStr">
        <is>
          <t>Brix, densidad, CO2 disuelto</t>
        </is>
      </c>
      <c r="K65" s="2" t="inlineStr">
        <is>
          <t>MEDIA</t>
        </is>
      </c>
      <c r="L65" s="2" t="inlineStr">
        <is>
          <t>Post-pulso +4 h</t>
        </is>
      </c>
      <c r="M65" s="2" t="inlineStr">
        <is>
          <t>Sí</t>
        </is>
      </c>
      <c r="N65" s="2" t="inlineStr">
        <is>
          <t>10 min</t>
        </is>
      </c>
      <c r="O65" s="2" t="inlineStr"/>
      <c r="P65" s="6">
        <f>IF(O65="","",SUMIFS($O$2:O65,$A$2:A65,A65,$B$2:B65,B65))</f>
        <v/>
      </c>
      <c r="Q65" s="2" t="inlineStr">
        <is>
          <t>Ancla física; CO2 gaseoso y temperatura continúan a alta resolución.</t>
        </is>
      </c>
    </row>
    <row r="66">
      <c r="A66" s="2" t="inlineStr">
        <is>
          <t>Lote 2</t>
        </is>
      </c>
      <c r="B66" s="2" t="inlineStr">
        <is>
          <t>F2</t>
        </is>
      </c>
      <c r="C66" s="2" t="inlineStr">
        <is>
          <t>Nutrición conocida y trazable</t>
        </is>
      </c>
      <c r="D66" s="2" t="n">
        <v>75.25</v>
      </c>
      <c r="E66" s="3" t="n">
        <v>46303</v>
      </c>
      <c r="F66" s="4" t="n">
        <v>0.6493055555555556</v>
      </c>
      <c r="G66" s="2" t="inlineStr"/>
      <c r="H66" s="4" t="inlineStr"/>
      <c r="I66" s="2" t="inlineStr">
        <is>
          <t>Manual compleja</t>
        </is>
      </c>
      <c r="J66" s="2" t="inlineStr">
        <is>
          <t>Oculyze (X/Xd), biomasa, G, F, YAN/componentes disponibles, E, Gly, Brix, densidad</t>
        </is>
      </c>
      <c r="K66" s="2" t="inlineStr">
        <is>
          <t>ALTA</t>
        </is>
      </c>
      <c r="L66" s="2" t="inlineStr">
        <is>
          <t>Post-pulso +5.5 h</t>
        </is>
      </c>
      <c r="M66" s="2" t="inlineStr">
        <is>
          <t>Sí</t>
        </is>
      </c>
      <c r="N66" s="2" t="inlineStr">
        <is>
          <t>25 min</t>
        </is>
      </c>
      <c r="O66" s="2" t="inlineStr"/>
      <c r="P66" s="6">
        <f>IF(O66="","",SUMIFS($O$2:O66,$A$2:A66,A66,$B$2:B66,B66))</f>
        <v/>
      </c>
      <c r="Q66" s="2" t="inlineStr">
        <is>
          <t>Cerca del máximo diagnóstico de respuesta rápida (~5–6 h).</t>
        </is>
      </c>
    </row>
    <row r="67">
      <c r="A67" s="2" t="inlineStr">
        <is>
          <t>Lote 2</t>
        </is>
      </c>
      <c r="B67" s="2" t="inlineStr">
        <is>
          <t>F2</t>
        </is>
      </c>
      <c r="C67" s="2" t="inlineStr">
        <is>
          <t>Nutrición conocida y trazable</t>
        </is>
      </c>
      <c r="D67" s="2" t="n">
        <v>93.75</v>
      </c>
      <c r="E67" s="3" t="n">
        <v>46304</v>
      </c>
      <c r="F67" s="4" t="n">
        <v>0.4201388888888889</v>
      </c>
      <c r="G67" s="2" t="inlineStr"/>
      <c r="H67" s="4" t="inlineStr"/>
      <c r="I67" s="2" t="inlineStr">
        <is>
          <t>Manual compleja</t>
        </is>
      </c>
      <c r="J67" s="2" t="inlineStr">
        <is>
          <t>Oculyze (X/Xd), biomasa, G, F, YAN/componentes disponibles, E, Gly, Brix, densidad, CO2 disuelto</t>
        </is>
      </c>
      <c r="K67" s="2" t="inlineStr">
        <is>
          <t>ALTA</t>
        </is>
      </c>
      <c r="L67" s="2" t="inlineStr">
        <is>
          <t>Post-pulso +24 h</t>
        </is>
      </c>
      <c r="M67" s="2" t="inlineStr">
        <is>
          <t>Sí</t>
        </is>
      </c>
      <c r="N67" s="2" t="inlineStr">
        <is>
          <t>25 min</t>
        </is>
      </c>
      <c r="O67" s="2" t="inlineStr"/>
      <c r="P67" s="6">
        <f>IF(O67="","",SUMIFS($O$2:O67,$A$2:A67,A67,$B$2:B67,B67))</f>
        <v/>
      </c>
      <c r="Q67" s="2" t="inlineStr">
        <is>
          <t>Evalúa persistencia frente a reconvergencia del transitorio.</t>
        </is>
      </c>
    </row>
    <row r="68">
      <c r="A68" s="2" t="inlineStr">
        <is>
          <t>Lote 2</t>
        </is>
      </c>
      <c r="B68" s="2" t="inlineStr">
        <is>
          <t>F2</t>
        </is>
      </c>
      <c r="C68" s="2" t="inlineStr">
        <is>
          <t>Nutrición conocida y trazable</t>
        </is>
      </c>
      <c r="D68" s="2" t="n">
        <v>164.25</v>
      </c>
      <c r="E68" s="3" t="n">
        <v>46307</v>
      </c>
      <c r="F68" s="4" t="n">
        <v>0.3576388888888889</v>
      </c>
      <c r="G68" s="2" t="inlineStr"/>
      <c r="H68" s="4" t="inlineStr"/>
      <c r="I68" s="2" t="inlineStr">
        <is>
          <t>Manual compleja</t>
        </is>
      </c>
      <c r="J68" s="2" t="inlineStr">
        <is>
          <t>Oculyze (X/Xd), biomasa, G, F, YAN/componentes disponibles, E, Gly, Brix, densidad, CO2 disuelto</t>
        </is>
      </c>
      <c r="K68" s="2" t="inlineStr">
        <is>
          <t>ALTA</t>
        </is>
      </c>
      <c r="L68" s="2" t="inlineStr">
        <is>
          <t>Post-pulso +94.5 h; terminación/cola</t>
        </is>
      </c>
      <c r="M68" s="2" t="inlineStr">
        <is>
          <t>Sí</t>
        </is>
      </c>
      <c r="N68" s="2" t="inlineStr">
        <is>
          <t>25 min</t>
        </is>
      </c>
      <c r="O68" s="2" t="inlineStr"/>
      <c r="P68" s="6">
        <f>IF(O68="","",SUMIFS($O$2:O68,$A$2:A68,A68,$B$2:B68,B68))</f>
        <v/>
      </c>
      <c r="Q68" s="2" t="inlineStr">
        <is>
          <t>Ancla fructosa residual, N, Xd y CO2 tras el fin de semana.</t>
        </is>
      </c>
    </row>
    <row r="69">
      <c r="A69" s="2" t="inlineStr">
        <is>
          <t>Lote 2</t>
        </is>
      </c>
      <c r="B69" s="2" t="inlineStr">
        <is>
          <t>F2</t>
        </is>
      </c>
      <c r="C69" s="2" t="inlineStr">
        <is>
          <t>Nutrición conocida y trazable</t>
        </is>
      </c>
      <c r="D69" s="2" t="n">
        <v>212.25</v>
      </c>
      <c r="E69" s="3" t="n">
        <v>46309</v>
      </c>
      <c r="F69" s="4" t="n">
        <v>0.3576388888888889</v>
      </c>
      <c r="G69" s="2" t="inlineStr"/>
      <c r="H69" s="4" t="inlineStr"/>
      <c r="I69" s="2" t="inlineStr">
        <is>
          <t>Manual compleja</t>
        </is>
      </c>
      <c r="J69" s="2" t="inlineStr">
        <is>
          <t>Oculyze (X/Xd), G, F, YAN/componentes disponibles, E, Gly, Brix, densidad</t>
        </is>
      </c>
      <c r="K69" s="2" t="inlineStr">
        <is>
          <t>MEDIA</t>
        </is>
      </c>
      <c r="L69" s="2" t="inlineStr">
        <is>
          <t>Post-pulso +142.5 h; cola tardía</t>
        </is>
      </c>
      <c r="M69" s="2" t="inlineStr">
        <is>
          <t>Sí</t>
        </is>
      </c>
      <c r="N69" s="2" t="inlineStr">
        <is>
          <t>25 min</t>
        </is>
      </c>
      <c r="O69" s="2" t="inlineStr"/>
      <c r="P69" s="6">
        <f>IF(O69="","",SUMIFS($O$2:O69,$A$2:A69,A69,$B$2:B69,B69))</f>
        <v/>
      </c>
      <c r="Q69" s="2" t="inlineStr">
        <is>
          <t>Distingue terminación basal de un efecto nutricional sostenido.</t>
        </is>
      </c>
    </row>
    <row r="70">
      <c r="A70" s="2" t="inlineStr">
        <is>
          <t>Lote 2</t>
        </is>
      </c>
      <c r="B70" s="2" t="inlineStr">
        <is>
          <t>F2</t>
        </is>
      </c>
      <c r="C70" s="2" t="inlineStr">
        <is>
          <t>Nutrición conocida y trazable</t>
        </is>
      </c>
      <c r="D70" s="2" t="n">
        <v>260.25</v>
      </c>
      <c r="E70" s="3" t="n">
        <v>46311</v>
      </c>
      <c r="F70" s="4" t="n">
        <v>0.3576388888888889</v>
      </c>
      <c r="G70" s="2" t="inlineStr"/>
      <c r="H70" s="4" t="inlineStr"/>
      <c r="I70" s="2" t="inlineStr">
        <is>
          <t>Manual compleja / final</t>
        </is>
      </c>
      <c r="J70" s="2" t="inlineStr">
        <is>
          <t>Oculyze (X/Xd), biomasa, G, F, YAN/componentes disponibles, E, Gly, Brix, densidad, CO2 disuelto</t>
        </is>
      </c>
      <c r="K70" s="2" t="inlineStr">
        <is>
          <t>ALTA</t>
        </is>
      </c>
      <c r="L70" s="2" t="inlineStr">
        <is>
          <t>Post-pulso +190.5 h; final planificado</t>
        </is>
      </c>
      <c r="M70" s="2" t="inlineStr">
        <is>
          <t>Sí</t>
        </is>
      </c>
      <c r="N70" s="2" t="inlineStr">
        <is>
          <t>25 min</t>
        </is>
      </c>
      <c r="O70" s="2" t="inlineStr"/>
      <c r="P70" s="6">
        <f>IF(O70="","",SUMIFS($O$2:O70,$A$2:A70,A70,$B$2:B70,B70))</f>
        <v/>
      </c>
      <c r="Q70" s="2" t="inlineStr">
        <is>
          <t>Si el criterio final ocurre antes, trasladar el conjunto y registrar la hora real.</t>
        </is>
      </c>
    </row>
    <row r="71">
      <c r="A71" s="2" t="inlineStr">
        <is>
          <t>Lote 2</t>
        </is>
      </c>
      <c r="B71" s="2" t="inlineStr">
        <is>
          <t>F2</t>
        </is>
      </c>
      <c r="C71" s="2" t="inlineStr">
        <is>
          <t>Nutrición conocida y trazable</t>
        </is>
      </c>
      <c r="D71" s="2" t="n">
        <v>69.75</v>
      </c>
      <c r="E71" s="3" t="n">
        <v>46303</v>
      </c>
      <c r="F71" s="4" t="n">
        <v>0.4201388888888889</v>
      </c>
      <c r="G71" s="2" t="inlineStr"/>
      <c r="H71" s="4" t="inlineStr"/>
      <c r="I71" s="2" t="inlineStr">
        <is>
          <t>Evento de proceso</t>
        </is>
      </c>
      <c r="J71" s="2" t="inlineStr">
        <is>
          <t>Producto, fabricante/tipo/lote, masas SFX/FDA, volumen, dosis calculada, hora inicio/fin, operador y observaciones</t>
        </is>
      </c>
      <c r="K71" s="2" t="inlineStr">
        <is>
          <t>ALTA</t>
        </is>
      </c>
      <c r="L71" s="2" t="inlineStr">
        <is>
          <t>Pulso nutricional trazable</t>
        </is>
      </c>
      <c r="M71" s="2" t="inlineStr">
        <is>
          <t>Sí</t>
        </is>
      </c>
      <c r="N71" s="2" t="inlineStr">
        <is>
          <t>10 min</t>
        </is>
      </c>
      <c r="O71" s="2" t="inlineStr"/>
      <c r="P71" s="6">
        <f>IF(O71="","",SUMIFS($O$2:O71,$A$2:A71,A71,$B$2:B71,B71))</f>
        <v/>
      </c>
      <c r="Q71" s="2" t="inlineStr">
        <is>
          <t>Criterio fijo causal t=69.75 h. Registrar tiempo real; no decidir con química futura.</t>
        </is>
      </c>
    </row>
    <row r="72">
      <c r="A72" s="2" t="inlineStr">
        <is>
          <t>Lote 2</t>
        </is>
      </c>
      <c r="B72" s="2" t="inlineStr">
        <is>
          <t>F3</t>
        </is>
      </c>
      <c r="C72" s="2" t="inlineStr">
        <is>
          <t>Control sin nutrición</t>
        </is>
      </c>
      <c r="D72" s="2" t="n">
        <v>-1</v>
      </c>
      <c r="E72" s="3" t="n">
        <v>46300</v>
      </c>
      <c r="F72" s="4" t="n">
        <v>0.4895833333333333</v>
      </c>
      <c r="G72" s="2" t="inlineStr"/>
      <c r="H72" s="4" t="inlineStr"/>
      <c r="I72" s="2" t="inlineStr">
        <is>
          <t>Continua / automática</t>
        </is>
      </c>
      <c r="J72" s="2" t="inlineStr">
        <is>
          <t>CO2 gaseoso y temperatura</t>
        </is>
      </c>
      <c r="K72" s="2" t="inlineStr">
        <is>
          <t>ALTA</t>
        </is>
      </c>
      <c r="L72" s="2" t="inlineStr">
        <is>
          <t>Desde −1 h hasta cierre</t>
        </is>
      </c>
      <c r="M72" s="2" t="inlineStr">
        <is>
          <t>No</t>
        </is>
      </c>
      <c r="N72" s="2" t="inlineStr">
        <is>
          <t>Continua</t>
        </is>
      </c>
      <c r="O72" s="2" t="inlineStr"/>
      <c r="P72" s="6">
        <f>IF(O72="","",SUMIFS($O$2:O72,$A$2:A72,A72,$B$2:B72,B72))</f>
        <v/>
      </c>
      <c r="Q72" s="2" t="inlineStr">
        <is>
          <t>Verificar timestamps, caudalímetro, blanco, hermeticidad, volumen/headspace e interrupciones.</t>
        </is>
      </c>
    </row>
    <row r="73">
      <c r="A73" s="2" t="inlineStr">
        <is>
          <t>Lote 2</t>
        </is>
      </c>
      <c r="B73" s="2" t="inlineStr">
        <is>
          <t>F3</t>
        </is>
      </c>
      <c r="C73" s="2" t="inlineStr">
        <is>
          <t>Control sin nutrición</t>
        </is>
      </c>
      <c r="D73" s="2" t="n">
        <v>-1</v>
      </c>
      <c r="E73" s="3" t="n">
        <v>46300</v>
      </c>
      <c r="F73" s="4" t="n">
        <v>0.4895833333333333</v>
      </c>
      <c r="G73" s="2" t="inlineStr"/>
      <c r="H73" s="4" t="inlineStr"/>
      <c r="I73" s="2" t="inlineStr">
        <is>
          <t>Continua / automática opcional</t>
        </is>
      </c>
      <c r="J73" s="2" t="inlineStr">
        <is>
          <t>O2 disuelto, sólo si existe sonda operacional validada</t>
        </is>
      </c>
      <c r="K73" s="2" t="inlineStr">
        <is>
          <t>OPCIONAL</t>
        </is>
      </c>
      <c r="L73" s="2" t="inlineStr">
        <is>
          <t>Desde antes de inocular hasta transición anaeróbica</t>
        </is>
      </c>
      <c r="M73" s="2" t="inlineStr">
        <is>
          <t>No</t>
        </is>
      </c>
      <c r="N73" s="2" t="inlineStr">
        <is>
          <t>Continua</t>
        </is>
      </c>
      <c r="O73" s="2" t="inlineStr"/>
      <c r="P73" s="6">
        <f>IF(O73="","",SUMIFS($O$2:O73,$A$2:A73,A73,$B$2:B73,B73))</f>
        <v/>
      </c>
      <c r="Q73" s="2" t="inlineStr">
        <is>
          <t>O2 es variable auxiliar de la capa CO2, no estado central; no comprometer mediciones prioritarias.</t>
        </is>
      </c>
    </row>
    <row r="74">
      <c r="A74" s="2" t="inlineStr">
        <is>
          <t>Lote 2</t>
        </is>
      </c>
      <c r="B74" s="2" t="inlineStr">
        <is>
          <t>F3</t>
        </is>
      </c>
      <c r="C74" s="2" t="inlineStr">
        <is>
          <t>Control sin nutrición</t>
        </is>
      </c>
      <c r="D74" s="2" t="n">
        <v>0.25</v>
      </c>
      <c r="E74" s="3" t="n">
        <v>46300</v>
      </c>
      <c r="F74" s="4" t="n">
        <v>0.5416666666666666</v>
      </c>
      <c r="G74" s="2" t="inlineStr"/>
      <c r="H74" s="4" t="inlineStr"/>
      <c r="I74" s="2" t="inlineStr">
        <is>
          <t>Manual compleja</t>
        </is>
      </c>
      <c r="J74" s="2" t="inlineStr">
        <is>
          <t>Oculyze (X/Xd), biomasa, G, F, YAN/componentes disponibles, E, Gly, Brix, densidad, CO2 disuelto, T de muestra</t>
        </is>
      </c>
      <c r="K74" s="2" t="inlineStr">
        <is>
          <t>ALTA</t>
        </is>
      </c>
      <c r="L74" s="2" t="inlineStr">
        <is>
          <t>Condición inicial posinoculación</t>
        </is>
      </c>
      <c r="M74" s="2" t="inlineStr">
        <is>
          <t>Sí</t>
        </is>
      </c>
      <c r="N74" s="2" t="inlineStr">
        <is>
          <t>25 min</t>
        </is>
      </c>
      <c r="O74" s="2" t="inlineStr"/>
      <c r="P74" s="6">
        <f>IF(O74="","",SUMIFS($O$2:O74,$A$2:A74,A74,$B$2:B74,B74))</f>
        <v/>
      </c>
      <c r="Q74" s="2" t="inlineStr">
        <is>
          <t>Sincronizar con fin de inoculación y adquisición; réplica técnica Oculyze si es viable.</t>
        </is>
      </c>
    </row>
    <row r="75">
      <c r="A75" s="2" t="inlineStr">
        <is>
          <t>Lote 2</t>
        </is>
      </c>
      <c r="B75" s="2" t="inlineStr">
        <is>
          <t>F3</t>
        </is>
      </c>
      <c r="C75" s="2" t="inlineStr">
        <is>
          <t>Control sin nutrición</t>
        </is>
      </c>
      <c r="D75" s="2" t="n">
        <v>20.25</v>
      </c>
      <c r="E75" s="3" t="n">
        <v>46301</v>
      </c>
      <c r="F75" s="4" t="n">
        <v>0.375</v>
      </c>
      <c r="G75" s="2" t="inlineStr"/>
      <c r="H75" s="4" t="inlineStr"/>
      <c r="I75" s="2" t="inlineStr">
        <is>
          <t>Manual compleja</t>
        </is>
      </c>
      <c r="J75" s="2" t="inlineStr">
        <is>
          <t>Oculyze (X/Xd), biomasa, G, F, YAN/componentes disponibles, E, Gly, Brix, densidad, CO2 disuelto</t>
        </is>
      </c>
      <c r="K75" s="2" t="inlineStr">
        <is>
          <t>ALTA</t>
        </is>
      </c>
      <c r="L75" s="2" t="inlineStr">
        <is>
          <t>Pre-pulso −49.5 h; crecimiento/onset</t>
        </is>
      </c>
      <c r="M75" s="2" t="inlineStr">
        <is>
          <t>Sí</t>
        </is>
      </c>
      <c r="N75" s="2" t="inlineStr">
        <is>
          <t>25 min</t>
        </is>
      </c>
      <c r="O75" s="2" t="inlineStr"/>
      <c r="P75" s="6">
        <f>IF(O75="","",SUMIFS($O$2:O75,$A$2:A75,A75,$B$2:B75,B75))</f>
        <v/>
      </c>
      <c r="Q75" s="2" t="inlineStr">
        <is>
          <t>Ancla temprana cercana al onset de CO2 observado en LAB016–018.</t>
        </is>
      </c>
    </row>
    <row r="76">
      <c r="A76" s="2" t="inlineStr">
        <is>
          <t>Lote 2</t>
        </is>
      </c>
      <c r="B76" s="2" t="inlineStr">
        <is>
          <t>F3</t>
        </is>
      </c>
      <c r="C76" s="2" t="inlineStr">
        <is>
          <t>Control sin nutrición</t>
        </is>
      </c>
      <c r="D76" s="2" t="n">
        <v>44.25</v>
      </c>
      <c r="E76" s="3" t="n">
        <v>46302</v>
      </c>
      <c r="F76" s="4" t="n">
        <v>0.375</v>
      </c>
      <c r="G76" s="2" t="inlineStr"/>
      <c r="H76" s="4" t="inlineStr"/>
      <c r="I76" s="2" t="inlineStr">
        <is>
          <t>Manual compleja</t>
        </is>
      </c>
      <c r="J76" s="2" t="inlineStr">
        <is>
          <t>Oculyze (X/Xd), biomasa, G, F, YAN/componentes disponibles, E, Gly, Brix, densidad</t>
        </is>
      </c>
      <c r="K76" s="2" t="inlineStr">
        <is>
          <t>ALTA</t>
        </is>
      </c>
      <c r="L76" s="2" t="inlineStr">
        <is>
          <t>Pre-pulso −25.5 h; crecimiento/pico</t>
        </is>
      </c>
      <c r="M76" s="2" t="inlineStr">
        <is>
          <t>Sí</t>
        </is>
      </c>
      <c r="N76" s="2" t="inlineStr">
        <is>
          <t>25 min</t>
        </is>
      </c>
      <c r="O76" s="2" t="inlineStr"/>
      <c r="P76" s="6">
        <f>IF(O76="","",SUMIFS($O$2:O76,$A$2:A76,A76,$B$2:B76,B76))</f>
        <v/>
      </c>
      <c r="Q76" s="2" t="inlineStr">
        <is>
          <t>Caracteriza máximo de biomasa y metabolismo antes del tratamiento.</t>
        </is>
      </c>
    </row>
    <row r="77">
      <c r="A77" s="2" t="inlineStr">
        <is>
          <t>Lote 2</t>
        </is>
      </c>
      <c r="B77" s="2" t="inlineStr">
        <is>
          <t>F3</t>
        </is>
      </c>
      <c r="C77" s="2" t="inlineStr">
        <is>
          <t>Control sin nutrición</t>
        </is>
      </c>
      <c r="D77" s="2" t="n">
        <v>68.25</v>
      </c>
      <c r="E77" s="3" t="n">
        <v>46303</v>
      </c>
      <c r="F77" s="4" t="n">
        <v>0.375</v>
      </c>
      <c r="G77" s="2" t="inlineStr"/>
      <c r="H77" s="4" t="inlineStr"/>
      <c r="I77" s="2" t="inlineStr">
        <is>
          <t>Manual compleja</t>
        </is>
      </c>
      <c r="J77" s="2" t="inlineStr">
        <is>
          <t>Oculyze (X/Xd), biomasa, G, F, YAN/componentes disponibles, E, Gly, Brix, densidad, CO2 disuelto</t>
        </is>
      </c>
      <c r="K77" s="2" t="inlineStr">
        <is>
          <t>ALTA</t>
        </is>
      </c>
      <c r="L77" s="2" t="inlineStr">
        <is>
          <t>Pre-pulso −1.5 h</t>
        </is>
      </c>
      <c r="M77" s="2" t="inlineStr">
        <is>
          <t>Sí</t>
        </is>
      </c>
      <c r="N77" s="2" t="inlineStr">
        <is>
          <t>25 min</t>
        </is>
      </c>
      <c r="O77" s="2" t="inlineStr"/>
      <c r="P77" s="6">
        <f>IF(O77="","",SUMIFS($O$2:O77,$A$2:A77,A77,$B$2:B77,B77))</f>
        <v/>
      </c>
      <c r="Q77" s="2" t="inlineStr">
        <is>
          <t>Baseline emparejada antes de iniciar la secuencia de eventos.</t>
        </is>
      </c>
    </row>
    <row r="78">
      <c r="A78" s="2" t="inlineStr">
        <is>
          <t>Lote 2</t>
        </is>
      </c>
      <c r="B78" s="2" t="inlineStr">
        <is>
          <t>F3</t>
        </is>
      </c>
      <c r="C78" s="2" t="inlineStr">
        <is>
          <t>Control sin nutrición</t>
        </is>
      </c>
      <c r="D78" s="2" t="n">
        <v>71.75</v>
      </c>
      <c r="E78" s="3" t="n">
        <v>46303</v>
      </c>
      <c r="F78" s="4" t="n">
        <v>0.5208333333333334</v>
      </c>
      <c r="G78" s="2" t="inlineStr"/>
      <c r="H78" s="4" t="inlineStr"/>
      <c r="I78" s="2" t="inlineStr">
        <is>
          <t>Manual compleja</t>
        </is>
      </c>
      <c r="J78" s="2" t="inlineStr">
        <is>
          <t>Oculyze (X/Xd), G, F, YAN/componentes disponibles, Brix, densidad</t>
        </is>
      </c>
      <c r="K78" s="2" t="inlineStr">
        <is>
          <t>ALTA</t>
        </is>
      </c>
      <c r="L78" s="2" t="inlineStr">
        <is>
          <t>Post-pulso +2 h</t>
        </is>
      </c>
      <c r="M78" s="2" t="inlineStr">
        <is>
          <t>Sí</t>
        </is>
      </c>
      <c r="N78" s="2" t="inlineStr">
        <is>
          <t>25 min</t>
        </is>
      </c>
      <c r="O78" s="2" t="inlineStr"/>
      <c r="P78" s="6">
        <f>IF(O78="","",SUMIFS($O$2:O78,$A$2:A78,A78,$B$2:B78,B78))</f>
        <v/>
      </c>
      <c r="Q78" s="2" t="inlineStr">
        <is>
          <t>Captura retardo/subida temprana y cambio de N sin inventar ΔN.</t>
        </is>
      </c>
    </row>
    <row r="79">
      <c r="A79" s="2" t="inlineStr">
        <is>
          <t>Lote 2</t>
        </is>
      </c>
      <c r="B79" s="2" t="inlineStr">
        <is>
          <t>F3</t>
        </is>
      </c>
      <c r="C79" s="2" t="inlineStr">
        <is>
          <t>Control sin nutrición</t>
        </is>
      </c>
      <c r="D79" s="2" t="n">
        <v>73.75</v>
      </c>
      <c r="E79" s="3" t="n">
        <v>46303</v>
      </c>
      <c r="F79" s="4" t="n">
        <v>0.6041666666666666</v>
      </c>
      <c r="G79" s="2" t="inlineStr"/>
      <c r="H79" s="4" t="inlineStr"/>
      <c r="I79" s="2" t="inlineStr">
        <is>
          <t>Manual simple</t>
        </is>
      </c>
      <c r="J79" s="2" t="inlineStr">
        <is>
          <t>Brix, densidad, CO2 disuelto</t>
        </is>
      </c>
      <c r="K79" s="2" t="inlineStr">
        <is>
          <t>MEDIA</t>
        </is>
      </c>
      <c r="L79" s="2" t="inlineStr">
        <is>
          <t>Post-pulso +4 h</t>
        </is>
      </c>
      <c r="M79" s="2" t="inlineStr">
        <is>
          <t>Sí</t>
        </is>
      </c>
      <c r="N79" s="2" t="inlineStr">
        <is>
          <t>10 min</t>
        </is>
      </c>
      <c r="O79" s="2" t="inlineStr"/>
      <c r="P79" s="6">
        <f>IF(O79="","",SUMIFS($O$2:O79,$A$2:A79,A79,$B$2:B79,B79))</f>
        <v/>
      </c>
      <c r="Q79" s="2" t="inlineStr">
        <is>
          <t>Ancla física; CO2 gaseoso y temperatura continúan a alta resolución.</t>
        </is>
      </c>
    </row>
    <row r="80">
      <c r="A80" s="2" t="inlineStr">
        <is>
          <t>Lote 2</t>
        </is>
      </c>
      <c r="B80" s="2" t="inlineStr">
        <is>
          <t>F3</t>
        </is>
      </c>
      <c r="C80" s="2" t="inlineStr">
        <is>
          <t>Control sin nutrición</t>
        </is>
      </c>
      <c r="D80" s="2" t="n">
        <v>75.25</v>
      </c>
      <c r="E80" s="3" t="n">
        <v>46303</v>
      </c>
      <c r="F80" s="4" t="n">
        <v>0.6666666666666666</v>
      </c>
      <c r="G80" s="2" t="inlineStr"/>
      <c r="H80" s="4" t="inlineStr"/>
      <c r="I80" s="2" t="inlineStr">
        <is>
          <t>Manual compleja</t>
        </is>
      </c>
      <c r="J80" s="2" t="inlineStr">
        <is>
          <t>Oculyze (X/Xd), biomasa, G, F, YAN/componentes disponibles, E, Gly, Brix, densidad</t>
        </is>
      </c>
      <c r="K80" s="2" t="inlineStr">
        <is>
          <t>ALTA</t>
        </is>
      </c>
      <c r="L80" s="2" t="inlineStr">
        <is>
          <t>Post-pulso +5.5 h</t>
        </is>
      </c>
      <c r="M80" s="2" t="inlineStr">
        <is>
          <t>Sí</t>
        </is>
      </c>
      <c r="N80" s="2" t="inlineStr">
        <is>
          <t>25 min</t>
        </is>
      </c>
      <c r="O80" s="2" t="inlineStr"/>
      <c r="P80" s="6">
        <f>IF(O80="","",SUMIFS($O$2:O80,$A$2:A80,A80,$B$2:B80,B80))</f>
        <v/>
      </c>
      <c r="Q80" s="2" t="inlineStr">
        <is>
          <t>Cerca del máximo diagnóstico de respuesta rápida (~5–6 h).</t>
        </is>
      </c>
    </row>
    <row r="81">
      <c r="A81" s="2" t="inlineStr">
        <is>
          <t>Lote 2</t>
        </is>
      </c>
      <c r="B81" s="2" t="inlineStr">
        <is>
          <t>F3</t>
        </is>
      </c>
      <c r="C81" s="2" t="inlineStr">
        <is>
          <t>Control sin nutrición</t>
        </is>
      </c>
      <c r="D81" s="2" t="n">
        <v>93.75</v>
      </c>
      <c r="E81" s="3" t="n">
        <v>46304</v>
      </c>
      <c r="F81" s="4" t="n">
        <v>0.4375</v>
      </c>
      <c r="G81" s="2" t="inlineStr"/>
      <c r="H81" s="4" t="inlineStr"/>
      <c r="I81" s="2" t="inlineStr">
        <is>
          <t>Manual compleja</t>
        </is>
      </c>
      <c r="J81" s="2" t="inlineStr">
        <is>
          <t>Oculyze (X/Xd), biomasa, G, F, YAN/componentes disponibles, E, Gly, Brix, densidad, CO2 disuelto</t>
        </is>
      </c>
      <c r="K81" s="2" t="inlineStr">
        <is>
          <t>ALTA</t>
        </is>
      </c>
      <c r="L81" s="2" t="inlineStr">
        <is>
          <t>Post-pulso +24 h</t>
        </is>
      </c>
      <c r="M81" s="2" t="inlineStr">
        <is>
          <t>Sí</t>
        </is>
      </c>
      <c r="N81" s="2" t="inlineStr">
        <is>
          <t>25 min</t>
        </is>
      </c>
      <c r="O81" s="2" t="inlineStr"/>
      <c r="P81" s="6">
        <f>IF(O81="","",SUMIFS($O$2:O81,$A$2:A81,A81,$B$2:B81,B81))</f>
        <v/>
      </c>
      <c r="Q81" s="2" t="inlineStr">
        <is>
          <t>Evalúa persistencia frente a reconvergencia del transitorio.</t>
        </is>
      </c>
    </row>
    <row r="82">
      <c r="A82" s="2" t="inlineStr">
        <is>
          <t>Lote 2</t>
        </is>
      </c>
      <c r="B82" s="2" t="inlineStr">
        <is>
          <t>F3</t>
        </is>
      </c>
      <c r="C82" s="2" t="inlineStr">
        <is>
          <t>Control sin nutrición</t>
        </is>
      </c>
      <c r="D82" s="2" t="n">
        <v>164.25</v>
      </c>
      <c r="E82" s="3" t="n">
        <v>46307</v>
      </c>
      <c r="F82" s="4" t="n">
        <v>0.375</v>
      </c>
      <c r="G82" s="2" t="inlineStr"/>
      <c r="H82" s="4" t="inlineStr"/>
      <c r="I82" s="2" t="inlineStr">
        <is>
          <t>Manual compleja</t>
        </is>
      </c>
      <c r="J82" s="2" t="inlineStr">
        <is>
          <t>Oculyze (X/Xd), biomasa, G, F, YAN/componentes disponibles, E, Gly, Brix, densidad, CO2 disuelto</t>
        </is>
      </c>
      <c r="K82" s="2" t="inlineStr">
        <is>
          <t>ALTA</t>
        </is>
      </c>
      <c r="L82" s="2" t="inlineStr">
        <is>
          <t>Post-pulso +94.5 h; terminación/cola</t>
        </is>
      </c>
      <c r="M82" s="2" t="inlineStr">
        <is>
          <t>Sí</t>
        </is>
      </c>
      <c r="N82" s="2" t="inlineStr">
        <is>
          <t>25 min</t>
        </is>
      </c>
      <c r="O82" s="2" t="inlineStr"/>
      <c r="P82" s="6">
        <f>IF(O82="","",SUMIFS($O$2:O82,$A$2:A82,A82,$B$2:B82,B82))</f>
        <v/>
      </c>
      <c r="Q82" s="2" t="inlineStr">
        <is>
          <t>Ancla fructosa residual, N, Xd y CO2 tras el fin de semana.</t>
        </is>
      </c>
    </row>
    <row r="83">
      <c r="A83" s="2" t="inlineStr">
        <is>
          <t>Lote 2</t>
        </is>
      </c>
      <c r="B83" s="2" t="inlineStr">
        <is>
          <t>F3</t>
        </is>
      </c>
      <c r="C83" s="2" t="inlineStr">
        <is>
          <t>Control sin nutrición</t>
        </is>
      </c>
      <c r="D83" s="2" t="n">
        <v>212.25</v>
      </c>
      <c r="E83" s="3" t="n">
        <v>46309</v>
      </c>
      <c r="F83" s="4" t="n">
        <v>0.375</v>
      </c>
      <c r="G83" s="2" t="inlineStr"/>
      <c r="H83" s="4" t="inlineStr"/>
      <c r="I83" s="2" t="inlineStr">
        <is>
          <t>Manual compleja</t>
        </is>
      </c>
      <c r="J83" s="2" t="inlineStr">
        <is>
          <t>Oculyze (X/Xd), G, F, YAN/componentes disponibles, E, Gly, Brix, densidad</t>
        </is>
      </c>
      <c r="K83" s="2" t="inlineStr">
        <is>
          <t>MEDIA</t>
        </is>
      </c>
      <c r="L83" s="2" t="inlineStr">
        <is>
          <t>Post-pulso +142.5 h; cola tardía</t>
        </is>
      </c>
      <c r="M83" s="2" t="inlineStr">
        <is>
          <t>Sí</t>
        </is>
      </c>
      <c r="N83" s="2" t="inlineStr">
        <is>
          <t>25 min</t>
        </is>
      </c>
      <c r="O83" s="2" t="inlineStr"/>
      <c r="P83" s="6">
        <f>IF(O83="","",SUMIFS($O$2:O83,$A$2:A83,A83,$B$2:B83,B83))</f>
        <v/>
      </c>
      <c r="Q83" s="2" t="inlineStr">
        <is>
          <t>Distingue terminación basal de un efecto nutricional sostenido.</t>
        </is>
      </c>
    </row>
    <row r="84">
      <c r="A84" s="2" t="inlineStr">
        <is>
          <t>Lote 2</t>
        </is>
      </c>
      <c r="B84" s="2" t="inlineStr">
        <is>
          <t>F3</t>
        </is>
      </c>
      <c r="C84" s="2" t="inlineStr">
        <is>
          <t>Control sin nutrición</t>
        </is>
      </c>
      <c r="D84" s="2" t="n">
        <v>260.25</v>
      </c>
      <c r="E84" s="3" t="n">
        <v>46311</v>
      </c>
      <c r="F84" s="4" t="n">
        <v>0.375</v>
      </c>
      <c r="G84" s="2" t="inlineStr"/>
      <c r="H84" s="4" t="inlineStr"/>
      <c r="I84" s="2" t="inlineStr">
        <is>
          <t>Manual compleja / final</t>
        </is>
      </c>
      <c r="J84" s="2" t="inlineStr">
        <is>
          <t>Oculyze (X/Xd), biomasa, G, F, YAN/componentes disponibles, E, Gly, Brix, densidad, CO2 disuelto</t>
        </is>
      </c>
      <c r="K84" s="2" t="inlineStr">
        <is>
          <t>ALTA</t>
        </is>
      </c>
      <c r="L84" s="2" t="inlineStr">
        <is>
          <t>Post-pulso +190.5 h; final planificado</t>
        </is>
      </c>
      <c r="M84" s="2" t="inlineStr">
        <is>
          <t>Sí</t>
        </is>
      </c>
      <c r="N84" s="2" t="inlineStr">
        <is>
          <t>25 min</t>
        </is>
      </c>
      <c r="O84" s="2" t="inlineStr"/>
      <c r="P84" s="6">
        <f>IF(O84="","",SUMIFS($O$2:O84,$A$2:A84,A84,$B$2:B84,B84))</f>
        <v/>
      </c>
      <c r="Q84" s="2" t="inlineStr">
        <is>
          <t>Si el criterio final ocurre antes, trasladar el conjunto y registrar la hora real.</t>
        </is>
      </c>
    </row>
    <row r="85">
      <c r="A85" s="2" t="inlineStr">
        <is>
          <t>Lote 2</t>
        </is>
      </c>
      <c r="B85" s="2" t="inlineStr">
        <is>
          <t>F3</t>
        </is>
      </c>
      <c r="C85" s="2" t="inlineStr">
        <is>
          <t>Control sin nutrición</t>
        </is>
      </c>
      <c r="D85" s="2" t="n">
        <v>69.75</v>
      </c>
      <c r="E85" s="3" t="n">
        <v>46303</v>
      </c>
      <c r="F85" s="4" t="n">
        <v>0.4375</v>
      </c>
      <c r="G85" s="2" t="inlineStr"/>
      <c r="H85" s="4" t="inlineStr"/>
      <c r="I85" s="2" t="inlineStr">
        <is>
          <t>Evento de proceso</t>
        </is>
      </c>
      <c r="J85" s="2" t="inlineStr">
        <is>
          <t>Marca temporal solamente; no añadir líquido ni producto</t>
        </is>
      </c>
      <c r="K85" s="2" t="inlineStr">
        <is>
          <t>ALTA</t>
        </is>
      </c>
      <c r="L85" s="2" t="inlineStr">
        <is>
          <t>Pseudo-pulso; sin adición</t>
        </is>
      </c>
      <c r="M85" s="2" t="inlineStr">
        <is>
          <t>No</t>
        </is>
      </c>
      <c r="N85" s="2" t="inlineStr">
        <is>
          <t>0 min</t>
        </is>
      </c>
      <c r="O85" s="2" t="inlineStr"/>
      <c r="P85" s="6">
        <f>IF(O85="","",SUMIFS($O$2:O85,$A$2:A85,A85,$B$2:B85,B85))</f>
        <v/>
      </c>
      <c r="Q85" s="2" t="inlineStr">
        <is>
          <t>Criterio fijo causal t=69.75 h. Registrar tiempo real; no decidir con química futura.</t>
        </is>
      </c>
    </row>
  </sheetData>
  <autoFilter ref="A1:Q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30" customWidth="1" min="3" max="3"/>
    <col width="34" customWidth="1" min="4" max="4"/>
    <col width="76" customWidth="1" min="5" max="5"/>
  </cols>
  <sheetData>
    <row r="1" ht="34" customHeight="1">
      <c r="A1" s="1" t="inlineStr">
        <is>
          <t>Categoría</t>
        </is>
      </c>
      <c r="B1" s="1" t="inlineStr">
        <is>
          <t>Fecha/días</t>
        </is>
      </c>
      <c r="C1" s="1" t="inlineStr">
        <is>
          <t>Presencia</t>
        </is>
      </c>
      <c r="D1" s="1" t="inlineStr">
        <is>
          <t>Ventana manual planificada</t>
        </is>
      </c>
      <c r="E1" s="1" t="inlineStr">
        <is>
          <t>Decisión / pendiente antes de iniciar</t>
        </is>
      </c>
    </row>
    <row r="2">
      <c r="A2" s="2" t="inlineStr">
        <is>
          <t>Horario general</t>
        </is>
      </c>
      <c r="B2" s="2" t="inlineStr">
        <is>
          <t>Lunes–jueves</t>
        </is>
      </c>
      <c r="C2" s="2" t="inlineStr">
        <is>
          <t>08:00–17:30</t>
        </is>
      </c>
      <c r="D2" s="2" t="inlineStr">
        <is>
          <t>08:10–16:30</t>
        </is>
      </c>
      <c r="E2" s="2" t="inlineStr">
        <is>
          <t>Tres fermentadores secuenciales; último punto complejo inicia 16:00 y termina estimativamente 16:25.</t>
        </is>
      </c>
    </row>
    <row r="3">
      <c r="A3" s="2" t="inlineStr">
        <is>
          <t>Horario general</t>
        </is>
      </c>
      <c r="B3" s="2" t="inlineStr">
        <is>
          <t>Viernes</t>
        </is>
      </c>
      <c r="C3" s="2" t="inlineStr">
        <is>
          <t>08:00–12:00</t>
        </is>
      </c>
      <c r="D3" s="2" t="inlineStr">
        <is>
          <t>08:10–11:00</t>
        </is>
      </c>
      <c r="E3" s="2" t="inlineStr">
        <is>
          <t>Puntos +24/final entre 08:10 y 10:30; el último termina estimativamente 10:55.</t>
        </is>
      </c>
    </row>
    <row r="4">
      <c r="A4" s="2" t="inlineStr">
        <is>
          <t>Restricción especial</t>
        </is>
      </c>
      <c r="B4" s="3" t="n">
        <v>46281</v>
      </c>
      <c r="C4" s="2" t="inlineStr">
        <is>
          <t>08:00–15:30</t>
        </is>
      </c>
      <c r="D4" s="2" t="inlineStr">
        <is>
          <t>08:10–14:30</t>
        </is>
      </c>
      <c r="E4" s="2" t="inlineStr">
        <is>
          <t>No aplica: Lote 1 aún no comienza.</t>
        </is>
      </c>
    </row>
    <row r="5">
      <c r="A5" s="2" t="inlineStr">
        <is>
          <t>Restricción especial</t>
        </is>
      </c>
      <c r="B5" s="3" t="n">
        <v>46282</v>
      </c>
      <c r="C5" s="2" t="inlineStr">
        <is>
          <t>08:00–12:00</t>
        </is>
      </c>
      <c r="D5" s="2" t="inlineStr">
        <is>
          <t>08:10–11:00</t>
        </is>
      </c>
      <c r="E5" s="2" t="inlineStr">
        <is>
          <t>No aplica: Lote 1 aún no comienza.</t>
        </is>
      </c>
    </row>
    <row r="6">
      <c r="A6" s="2" t="inlineStr">
        <is>
          <t>Feriado</t>
        </is>
      </c>
      <c r="B6" s="3" t="n">
        <v>46283</v>
      </c>
      <c r="C6" s="2" t="inlineStr">
        <is>
          <t>Sin trabajo de laboratorio</t>
        </is>
      </c>
      <c r="D6" s="2" t="inlineStr">
        <is>
          <t>Sin muestras manuales</t>
        </is>
      </c>
      <c r="E6" s="2" t="inlineStr">
        <is>
          <t>Ningún lote activo; no hay operaciones.</t>
        </is>
      </c>
    </row>
    <row r="7">
      <c r="A7" s="2" t="inlineStr">
        <is>
          <t>Diseño</t>
        </is>
      </c>
      <c r="B7" s="2" t="inlineStr">
        <is>
          <t>Campaña completa</t>
        </is>
      </c>
      <c r="C7" s="2" t="inlineStr">
        <is>
          <t>2 lotes × 3 fermentadores</t>
        </is>
      </c>
      <c r="D7" s="2" t="inlineStr">
        <is>
          <t>11 muestras manuales por fermentación</t>
        </is>
      </c>
      <c r="E7" s="2" t="inlineStr">
        <is>
          <t>6 unidades experimentales; n=3 control y n=3 nutrido.</t>
        </is>
      </c>
    </row>
    <row r="8">
      <c r="A8" s="2" t="inlineStr">
        <is>
          <t>Bloqueo</t>
        </is>
      </c>
      <c r="B8" s="2" t="inlineStr">
        <is>
          <t>Ambos lotes</t>
        </is>
      </c>
      <c r="C8" s="2" t="inlineStr">
        <is>
          <t>Ambos tratamientos presentes</t>
        </is>
      </c>
      <c r="D8" s="2" t="inlineStr">
        <is>
          <t>L1: 2C+1N; L2: 1C+2N</t>
        </is>
      </c>
      <c r="E8" s="2" t="inlineStr">
        <is>
          <t>Evita confundir efecto de lote con efecto de tratamiento.</t>
        </is>
      </c>
    </row>
    <row r="9">
      <c r="A9" s="2" t="inlineStr">
        <is>
          <t>Asignación física</t>
        </is>
      </c>
      <c r="B9" s="2" t="inlineStr">
        <is>
          <t>F1/F2/F3</t>
        </is>
      </c>
      <c r="C9" s="2" t="inlineStr">
        <is>
          <t>Contrabalanceada</t>
        </is>
      </c>
      <c r="D9" s="2" t="inlineStr">
        <is>
          <t>Cada fermentador cambia de tratamiento</t>
        </is>
      </c>
      <c r="E9" s="2" t="inlineStr">
        <is>
          <t>Confirmar equivalencia/limpieza; no reasignar después de iniciar sin documentarlo.</t>
        </is>
      </c>
    </row>
    <row r="10">
      <c r="A10" s="2" t="inlineStr">
        <is>
          <t>Cambio de lote</t>
        </is>
      </c>
      <c r="B10" s="2" t="inlineStr">
        <is>
          <t>02-10 a 05-10</t>
        </is>
      </c>
      <c r="C10" s="2" t="inlineStr">
        <is>
          <t>Ventana de limpieza</t>
        </is>
      </c>
      <c r="D10" s="2" t="inlineStr">
        <is>
          <t>Lote 2 inicia 05-10</t>
        </is>
      </c>
      <c r="E10" s="2" t="inlineStr">
        <is>
          <t>Confirmar turnaround; si no alcanza, desplazar Lote 2 una semana manteniendo patrón horario completo.</t>
        </is>
      </c>
    </row>
    <row r="11">
      <c r="A11" s="2" t="inlineStr">
        <is>
          <t>Nutrición</t>
        </is>
      </c>
      <c r="B11" s="2" t="inlineStr">
        <is>
          <t>Antes de ejecutar</t>
        </is>
      </c>
      <c r="C11" s="2" t="inlineStr">
        <is>
          <t>Pendiente</t>
        </is>
      </c>
      <c r="D11" s="2" t="inlineStr">
        <is>
          <t>No ejecutar hasta confirmar</t>
        </is>
      </c>
      <c r="E11" s="2" t="inlineStr">
        <is>
          <t>Producto/fabricante/lote; masas SFX/FDA; aporte YAN; volumen; concentración; aplicación y responsable.</t>
        </is>
      </c>
    </row>
    <row r="12">
      <c r="A12" s="2" t="inlineStr">
        <is>
          <t>Volumen</t>
        </is>
      </c>
      <c r="B12" s="2" t="inlineStr">
        <is>
          <t>Antes de ejecutar</t>
        </is>
      </c>
      <c r="C12" s="2" t="inlineStr">
        <is>
          <t>Pendiente</t>
        </is>
      </c>
      <c r="D12" s="2" t="inlineStr">
        <is>
          <t>Usar mínimo volumen validado</t>
        </is>
      </c>
      <c r="E12" s="2" t="inlineStr">
        <is>
          <t>Confirmar volumen inicial, volumen por método y máximo acumulado admisible.</t>
        </is>
      </c>
    </row>
    <row r="13">
      <c r="A13" s="2" t="inlineStr">
        <is>
          <t>Analítica</t>
        </is>
      </c>
      <c r="B13" s="2" t="inlineStr">
        <is>
          <t>Antes de ejecutar</t>
        </is>
      </c>
      <c r="C13" s="2" t="inlineStr">
        <is>
          <t>Pendiente</t>
        </is>
      </c>
      <c r="D13" s="2" t="inlineStr">
        <is>
          <t>Validar ciclo de 25 min</t>
        </is>
      </c>
      <c r="E13" s="2" t="inlineStr">
        <is>
          <t>Confirmar reactivos, Oculyze, biomasa, química G/F/YAN/E/Gly y capacidad para tres fermentadores.</t>
        </is>
      </c>
    </row>
    <row r="14">
      <c r="A14" s="2" t="inlineStr">
        <is>
          <t>Sensores</t>
        </is>
      </c>
      <c r="B14" s="2" t="inlineStr">
        <is>
          <t>Antes de ejecutar</t>
        </is>
      </c>
      <c r="C14" s="2" t="inlineStr">
        <is>
          <t>Pendiente</t>
        </is>
      </c>
      <c r="D14" s="2" t="inlineStr">
        <is>
          <t>No condicionan el núcleo A/B</t>
        </is>
      </c>
      <c r="E14" s="2" t="inlineStr">
        <is>
          <t>Confirmar CO2 disuelto; O2 sólo si está disponible, validado y sin aumentar excesivamente la carga.</t>
        </is>
      </c>
    </row>
    <row r="15">
      <c r="A15" s="2" t="inlineStr">
        <is>
          <t>Metrología</t>
        </is>
      </c>
      <c r="B15" s="2" t="inlineStr">
        <is>
          <t>Antes de ejecutar</t>
        </is>
      </c>
      <c r="C15" s="2" t="inlineStr">
        <is>
          <t>Pendiente</t>
        </is>
      </c>
      <c r="D15" s="2" t="inlineStr">
        <is>
          <t>Previo a t=−1 h</t>
        </is>
      </c>
      <c r="E15" s="2" t="inlineStr">
        <is>
          <t>Caudalímetros, blancos, sincronización, frecuencia, convención de unidades, hermeticidad, headspace y reloj común.</t>
        </is>
      </c>
    </row>
    <row r="16">
      <c r="A16" s="2" t="inlineStr">
        <is>
          <t>Cierre</t>
        </is>
      </c>
      <c r="B16" s="2" t="inlineStr">
        <is>
          <t>Antes de ejecutar</t>
        </is>
      </c>
      <c r="C16" s="2" t="inlineStr">
        <is>
          <t>Pendiente</t>
        </is>
      </c>
      <c r="D16" s="2" t="inlineStr">
        <is>
          <t>Definir criterio causal</t>
        </is>
      </c>
      <c r="E16" s="2" t="inlineStr">
        <is>
          <t>Predefinir criterio de CO2 sostenido y estabilidad Brix/densidad; mover conjunto final si corresponde.</t>
        </is>
      </c>
    </row>
  </sheetData>
  <autoFilter ref="A1:E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2026-09-09T13:00:23Z</dcterms:created>
  <dcterms:modified xsi:type="dcterms:W3CDTF">2026-09-09T13:00:23Z</dcterms:modified>
</cp:coreProperties>
</file>