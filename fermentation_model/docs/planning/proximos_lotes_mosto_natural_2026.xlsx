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uestreo" sheetId="2" state="visible" r:id="rId2"/>
    <sheet name="Restricciones" sheetId="3" state="visible" r:id="rId3"/>
  </sheets>
  <definedNames>
    <definedName name="_xlnm._FilterDatabase" localSheetId="0" hidden="1">'Resumen'!$A$1:$K$1</definedName>
    <definedName name="_xlnm._FilterDatabase" localSheetId="1" hidden="1">'Muestreo'!$A$1:$P$35</definedName>
    <definedName name="_xlnm._FilterDatabase" localSheetId="2" hidden="1">'Restricciones'!$A$1:$E$14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hh:mm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1" customWidth="1" min="3" max="3"/>
    <col width="18" customWidth="1" min="4" max="4"/>
    <col width="42" customWidth="1" min="5" max="5"/>
    <col width="19" customWidth="1" min="6" max="6"/>
    <col width="18" customWidth="1" min="7" max="7"/>
    <col width="42" customWidth="1" min="8" max="8"/>
    <col width="38" customWidth="1" min="9" max="9"/>
    <col width="42" customWidth="1" min="10" max="10"/>
    <col width="48" customWidth="1" min="11" max="11"/>
  </cols>
  <sheetData>
    <row r="1" ht="34" customHeight="1">
      <c r="A1" s="1" t="inlineStr">
        <is>
          <t>Lote</t>
        </is>
      </c>
      <c r="B1" s="1" t="inlineStr">
        <is>
          <t>Objetivo</t>
        </is>
      </c>
      <c r="C1" s="1" t="inlineStr">
        <is>
          <t>Tratamiento</t>
        </is>
      </c>
      <c r="D1" s="1" t="inlineStr">
        <is>
          <t>Temperatura [°C]</t>
        </is>
      </c>
      <c r="E1" s="1" t="inlineStr">
        <is>
          <t>Nutrición</t>
        </is>
      </c>
      <c r="F1" s="1" t="inlineStr">
        <is>
          <t>Fecha inoculación</t>
        </is>
      </c>
      <c r="G1" s="1" t="inlineStr">
        <is>
          <t>Hora inoculación</t>
        </is>
      </c>
      <c r="H1" s="1" t="inlineStr">
        <is>
          <t>Duración esperada</t>
        </is>
      </c>
      <c r="I1" s="1" t="inlineStr">
        <is>
          <t>Rol científico</t>
        </is>
      </c>
      <c r="J1" s="1" t="inlineStr">
        <is>
          <t>Estado</t>
        </is>
      </c>
      <c r="K1" s="1" t="inlineStr">
        <is>
          <t>Observaciones</t>
        </is>
      </c>
    </row>
    <row r="2">
      <c r="A2" s="2" t="inlineStr">
        <is>
          <t>NM26-A</t>
        </is>
      </c>
      <c r="B2" s="2" t="inlineStr">
        <is>
          <t>Caracterizar activación, metabolismo y terminación basal sin confundirlos con nutrición.</t>
        </is>
      </c>
      <c r="C2" s="2" t="inlineStr">
        <is>
          <t>Control sin nutrición</t>
        </is>
      </c>
      <c r="D2" s="2" t="n">
        <v>20</v>
      </c>
      <c r="E2" s="2" t="inlineStr">
        <is>
          <t>Sin adición; pseudo-pulso temporal a t=67.25 h</t>
        </is>
      </c>
      <c r="F2" s="3" t="n">
        <v>46286</v>
      </c>
      <c r="G2" s="4" t="n">
        <v>0.5625</v>
      </c>
      <c r="H2" s="2" t="inlineStr">
        <is>
          <t>≈11 días; cierre por criterio predefinido</t>
        </is>
      </c>
      <c r="I2" s="2" t="inlineStr">
        <is>
          <t>Discriminación estructural / futura recalibración justificada</t>
        </is>
      </c>
      <c r="J2" s="2" t="inlineStr">
        <is>
          <t>Planificado; NO ejecutar hasta cerrar pendientes</t>
        </is>
      </c>
      <c r="K2" s="2" t="inlineStr">
        <is>
          <t>Mismo mosto, cepa, volumen y operación que NM26-B; no usar LAB016-018 como training.</t>
        </is>
      </c>
    </row>
    <row r="3">
      <c r="A3" s="2" t="inlineStr">
        <is>
          <t>NM26-B</t>
        </is>
      </c>
      <c r="B3" s="2" t="inlineStr">
        <is>
          <t>Cuantificar respuesta rápida y sostenida causada por un pulso nutricional trazable.</t>
        </is>
      </c>
      <c r="C3" s="2" t="inlineStr">
        <is>
          <t>Nutrición conocida y trazable</t>
        </is>
      </c>
      <c r="D3" s="2" t="n">
        <v>20</v>
      </c>
      <c r="E3" s="2" t="inlineStr">
        <is>
          <t>SFX + FDA: formulación, masas y aporte YAN por confirmar antes de ejecutar</t>
        </is>
      </c>
      <c r="F3" s="3" t="n">
        <v>46286</v>
      </c>
      <c r="G3" s="4" t="n">
        <v>0.5798611111111112</v>
      </c>
      <c r="H3" s="2" t="inlineStr">
        <is>
          <t>≈11 días; cierre por criterio predefinido</t>
        </is>
      </c>
      <c r="I3" s="2" t="inlineStr">
        <is>
          <t>Discriminación estructural / futura recalibración justificada</t>
        </is>
      </c>
      <c r="J3" s="2" t="inlineStr">
        <is>
          <t>Planificado; NO ejecutar hasta cerrar pendientes</t>
        </is>
      </c>
      <c r="K3" s="2" t="inlineStr">
        <is>
          <t>Única diferencia deliberada respecto de NM26-A: tratamiento nutricional.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8" customWidth="1" min="4" max="4"/>
    <col width="17" customWidth="1" min="5" max="5"/>
    <col width="17" customWidth="1" min="6" max="6"/>
    <col width="11" customWidth="1" min="7" max="7"/>
    <col width="29" customWidth="1" min="8" max="8"/>
    <col width="52" customWidth="1" min="9" max="9"/>
    <col width="11" customWidth="1" min="10" max="10"/>
    <col width="38" customWidth="1" min="11" max="11"/>
    <col width="20" customWidth="1" min="12" max="12"/>
    <col width="19" customWidth="1" min="13" max="13"/>
    <col width="22" customWidth="1" min="14" max="14"/>
    <col width="42" customWidth="1" min="15" max="15"/>
    <col width="58" customWidth="1" min="16" max="16"/>
  </cols>
  <sheetData>
    <row r="1" ht="34" customHeight="1">
      <c r="A1" s="1" t="inlineStr">
        <is>
          <t>Lote</t>
        </is>
      </c>
      <c r="B1" s="1" t="inlineStr">
        <is>
          <t>Fermentador</t>
        </is>
      </c>
      <c r="C1" s="1" t="inlineStr">
        <is>
          <t>Tiempo nominal [h]</t>
        </is>
      </c>
      <c r="D1" s="1" t="inlineStr">
        <is>
          <t>Fecha programada</t>
        </is>
      </c>
      <c r="E1" s="1" t="inlineStr">
        <is>
          <t>Hora programada</t>
        </is>
      </c>
      <c r="F1" s="1" t="inlineStr">
        <is>
          <t>Tiempo real [h]</t>
        </is>
      </c>
      <c r="G1" s="1" t="inlineStr">
        <is>
          <t>Hora real</t>
        </is>
      </c>
      <c r="H1" s="1" t="inlineStr">
        <is>
          <t>Tipo de medición</t>
        </is>
      </c>
      <c r="I1" s="1" t="inlineStr">
        <is>
          <t>Variables</t>
        </is>
      </c>
      <c r="J1" s="1" t="inlineStr">
        <is>
          <t>Prioridad</t>
        </is>
      </c>
      <c r="K1" s="1" t="inlineStr">
        <is>
          <t>Relación con nutrición</t>
        </is>
      </c>
      <c r="L1" s="1" t="inlineStr">
        <is>
          <t>Requiere presencia</t>
        </is>
      </c>
      <c r="M1" s="1" t="inlineStr">
        <is>
          <t>Duración estimada</t>
        </is>
      </c>
      <c r="N1" s="1" t="inlineStr">
        <is>
          <t>Volumen muestra [mL]</t>
        </is>
      </c>
      <c r="O1" s="1" t="inlineStr">
        <is>
          <t>Volumen acumulado [mL]</t>
        </is>
      </c>
      <c r="P1" s="1" t="inlineStr">
        <is>
          <t>Notas</t>
        </is>
      </c>
    </row>
    <row r="2">
      <c r="A2" s="2" t="inlineStr">
        <is>
          <t>NM26-A</t>
        </is>
      </c>
      <c r="B2" s="2" t="inlineStr">
        <is>
          <t>F1</t>
        </is>
      </c>
      <c r="C2" s="2" t="n">
        <v>-1</v>
      </c>
      <c r="D2" s="3" t="n">
        <v>46286</v>
      </c>
      <c r="E2" s="4" t="n">
        <v>0.5208333333333334</v>
      </c>
      <c r="F2" s="2" t="inlineStr"/>
      <c r="G2" s="4" t="inlineStr"/>
      <c r="H2" s="2" t="inlineStr">
        <is>
          <t>Continua / automática</t>
        </is>
      </c>
      <c r="I2" s="2" t="inlineStr">
        <is>
          <t>CO2 gaseoso y temperatura</t>
        </is>
      </c>
      <c r="J2" s="2" t="inlineStr">
        <is>
          <t>ALTA</t>
        </is>
      </c>
      <c r="K2" s="2" t="inlineStr">
        <is>
          <t>Desde −1 h hasta cierre</t>
        </is>
      </c>
      <c r="L2" s="2" t="inlineStr">
        <is>
          <t>No</t>
        </is>
      </c>
      <c r="M2" s="2" t="inlineStr">
        <is>
          <t>Continua</t>
        </is>
      </c>
      <c r="N2" s="2" t="inlineStr"/>
      <c r="O2" s="5">
        <f>IF(N2="","",SUMIFS($N$2:N2,$A$2:A2,A2))</f>
        <v/>
      </c>
      <c r="P2" s="2" t="inlineStr">
        <is>
          <t>Verificar timestamps, caudalímetro, blanco, hermeticidad, volumen/headspace e interrupciones.</t>
        </is>
      </c>
    </row>
    <row r="3">
      <c r="A3" s="2" t="inlineStr">
        <is>
          <t>NM26-A</t>
        </is>
      </c>
      <c r="B3" s="2" t="inlineStr">
        <is>
          <t>F1</t>
        </is>
      </c>
      <c r="C3" s="2" t="n">
        <v>-1</v>
      </c>
      <c r="D3" s="3" t="n">
        <v>46286</v>
      </c>
      <c r="E3" s="4" t="n">
        <v>0.5208333333333334</v>
      </c>
      <c r="F3" s="2" t="inlineStr"/>
      <c r="G3" s="4" t="inlineStr"/>
      <c r="H3" s="2" t="inlineStr">
        <is>
          <t>Continua / automática opcional</t>
        </is>
      </c>
      <c r="I3" s="2" t="inlineStr">
        <is>
          <t>O2 disuelto, solo si existe sonda operacional validada</t>
        </is>
      </c>
      <c r="J3" s="2" t="inlineStr">
        <is>
          <t>OPCIONAL</t>
        </is>
      </c>
      <c r="K3" s="2" t="inlineStr">
        <is>
          <t>Desde antes de inocular hasta transición anaeróbica</t>
        </is>
      </c>
      <c r="L3" s="2" t="inlineStr">
        <is>
          <t>No</t>
        </is>
      </c>
      <c r="M3" s="2" t="inlineStr">
        <is>
          <t>Continua</t>
        </is>
      </c>
      <c r="N3" s="2" t="inlineStr"/>
      <c r="O3" s="5">
        <f>IF(N3="","",SUMIFS($N$2:N3,$A$2:A3,A3))</f>
        <v/>
      </c>
      <c r="P3" s="2" t="inlineStr">
        <is>
          <t>O2 es variable auxiliar de la capa CO2, no estado del modelo central; no hacer viable el plan a costa de esta medición.</t>
        </is>
      </c>
    </row>
    <row r="4">
      <c r="A4" s="2" t="inlineStr">
        <is>
          <t>NM26-A</t>
        </is>
      </c>
      <c r="B4" s="2" t="inlineStr">
        <is>
          <t>F1</t>
        </is>
      </c>
      <c r="C4" s="2" t="n">
        <v>0.25</v>
      </c>
      <c r="D4" s="3" t="n">
        <v>46286</v>
      </c>
      <c r="E4" s="4" t="n">
        <v>0.5729166666666666</v>
      </c>
      <c r="F4" s="2" t="inlineStr"/>
      <c r="G4" s="4" t="inlineStr"/>
      <c r="H4" s="2" t="inlineStr">
        <is>
          <t>Manual compleja</t>
        </is>
      </c>
      <c r="I4" s="2" t="inlineStr">
        <is>
          <t>Oculyze (X/Xd), biomasa, G, F, YAN/componentes disponibles, E, Gly, Brix, densidad, CO2 disuelto, T de muestra</t>
        </is>
      </c>
      <c r="J4" s="2" t="inlineStr">
        <is>
          <t>ALTA</t>
        </is>
      </c>
      <c r="K4" s="2" t="inlineStr">
        <is>
          <t>Condición inicial posinoculación</t>
        </is>
      </c>
      <c r="L4" s="2" t="inlineStr">
        <is>
          <t>Sí</t>
        </is>
      </c>
      <c r="M4" s="2" t="inlineStr">
        <is>
          <t>30 min</t>
        </is>
      </c>
      <c r="N4" s="2" t="inlineStr"/>
      <c r="O4" s="5">
        <f>IF(N4="","",SUMIFS($N$2:N4,$A$2:A4,A4))</f>
        <v/>
      </c>
      <c r="P4" s="2" t="inlineStr">
        <is>
          <t>t≈0; sincronizar con fin de inoculación y adquisición. Réplicas técnicas Oculyze si son viables.</t>
        </is>
      </c>
    </row>
    <row r="5">
      <c r="A5" s="2" t="inlineStr">
        <is>
          <t>NM26-A</t>
        </is>
      </c>
      <c r="B5" s="2" t="inlineStr">
        <is>
          <t>F1</t>
        </is>
      </c>
      <c r="C5" s="2" t="n">
        <v>18.75</v>
      </c>
      <c r="D5" s="3" t="n">
        <v>46287</v>
      </c>
      <c r="E5" s="4" t="n">
        <v>0.34375</v>
      </c>
      <c r="F5" s="2" t="inlineStr"/>
      <c r="G5" s="4" t="inlineStr"/>
      <c r="H5" s="2" t="inlineStr">
        <is>
          <t>Manual compleja</t>
        </is>
      </c>
      <c r="I5" s="2" t="inlineStr">
        <is>
          <t>Oculyze (X/Xd), biomasa, Brix, densidad</t>
        </is>
      </c>
      <c r="J5" s="2" t="inlineStr">
        <is>
          <t>MEDIA</t>
        </is>
      </c>
      <c r="K5" s="2" t="inlineStr">
        <is>
          <t>Pre-pulso −48.5 h; crecimiento temprano</t>
        </is>
      </c>
      <c r="L5" s="2" t="inlineStr">
        <is>
          <t>Sí</t>
        </is>
      </c>
      <c r="M5" s="2" t="inlineStr">
        <is>
          <t>20 min</t>
        </is>
      </c>
      <c r="N5" s="2" t="inlineStr"/>
      <c r="O5" s="5">
        <f>IF(N5="","",SUMIFS($N$2:N5,$A$2:A5,A5))</f>
        <v/>
      </c>
      <c r="P5" s="2" t="inlineStr">
        <is>
          <t>Ancla temprana; evita depender de una sola observación de crecimiento.</t>
        </is>
      </c>
    </row>
    <row r="6">
      <c r="A6" s="2" t="inlineStr">
        <is>
          <t>NM26-A</t>
        </is>
      </c>
      <c r="B6" s="2" t="inlineStr">
        <is>
          <t>F1</t>
        </is>
      </c>
      <c r="C6" s="2" t="n">
        <v>24.25</v>
      </c>
      <c r="D6" s="3" t="n">
        <v>46287</v>
      </c>
      <c r="E6" s="4" t="n">
        <v>0.5729166666666666</v>
      </c>
      <c r="F6" s="2" t="inlineStr"/>
      <c r="G6" s="4" t="inlineStr"/>
      <c r="H6" s="2" t="inlineStr">
        <is>
          <t>Manual compleja</t>
        </is>
      </c>
      <c r="I6" s="2" t="inlineStr">
        <is>
          <t>Oculyze (X/Xd), G, F, YAN/componentes disponibles, E, Gly, Brix, densidad, CO2 disuelto</t>
        </is>
      </c>
      <c r="J6" s="2" t="inlineStr">
        <is>
          <t>ALTA</t>
        </is>
      </c>
      <c r="K6" s="2" t="inlineStr">
        <is>
          <t>Pre-pulso −43 h; onset histórico 22–24 h</t>
        </is>
      </c>
      <c r="L6" s="2" t="inlineStr">
        <is>
          <t>Sí</t>
        </is>
      </c>
      <c r="M6" s="2" t="inlineStr">
        <is>
          <t>30 min</t>
        </is>
      </c>
      <c r="N6" s="2" t="inlineStr"/>
      <c r="O6" s="5">
        <f>IF(N6="","",SUMIFS($N$2:N6,$A$2:A6,A6))</f>
        <v/>
      </c>
      <c r="P6" s="2" t="inlineStr">
        <is>
          <t>Ancla metabolismo–CO2 cerca del onset observado en LAB016–018.</t>
        </is>
      </c>
    </row>
    <row r="7">
      <c r="A7" s="2" t="inlineStr">
        <is>
          <t>NM26-A</t>
        </is>
      </c>
      <c r="B7" s="2" t="inlineStr">
        <is>
          <t>F1</t>
        </is>
      </c>
      <c r="C7" s="2" t="n">
        <v>42.75</v>
      </c>
      <c r="D7" s="3" t="n">
        <v>46288</v>
      </c>
      <c r="E7" s="4" t="n">
        <v>0.34375</v>
      </c>
      <c r="F7" s="2" t="inlineStr"/>
      <c r="G7" s="4" t="inlineStr"/>
      <c r="H7" s="2" t="inlineStr">
        <is>
          <t>Manual compleja</t>
        </is>
      </c>
      <c r="I7" s="2" t="inlineStr">
        <is>
          <t>Oculyze (X/Xd), biomasa, Brix, densidad</t>
        </is>
      </c>
      <c r="J7" s="2" t="inlineStr">
        <is>
          <t>ALTA</t>
        </is>
      </c>
      <c r="K7" s="2" t="inlineStr">
        <is>
          <t>Pre-pulso −24.5 h; crecimiento / cercanía al pico</t>
        </is>
      </c>
      <c r="L7" s="2" t="inlineStr">
        <is>
          <t>Sí</t>
        </is>
      </c>
      <c r="M7" s="2" t="inlineStr">
        <is>
          <t>20 min</t>
        </is>
      </c>
      <c r="N7" s="2" t="inlineStr"/>
      <c r="O7" s="5">
        <f>IF(N7="","",SUMIFS($N$2:N7,$A$2:A7,A7))</f>
        <v/>
      </c>
      <c r="P7" s="2" t="inlineStr">
        <is>
          <t>Cobertura del ascenso de X y del máximo gaseoso histórico.</t>
        </is>
      </c>
    </row>
    <row r="8">
      <c r="A8" s="2" t="inlineStr">
        <is>
          <t>NM26-A</t>
        </is>
      </c>
      <c r="B8" s="2" t="inlineStr">
        <is>
          <t>F1</t>
        </is>
      </c>
      <c r="C8" s="2" t="n">
        <v>49.75</v>
      </c>
      <c r="D8" s="3" t="n">
        <v>46288</v>
      </c>
      <c r="E8" s="4" t="n">
        <v>0.6354166666666666</v>
      </c>
      <c r="F8" s="2" t="inlineStr"/>
      <c r="G8" s="4" t="inlineStr"/>
      <c r="H8" s="2" t="inlineStr">
        <is>
          <t>Manual compleja</t>
        </is>
      </c>
      <c r="I8" s="2" t="inlineStr">
        <is>
          <t>Oculyze (X/Xd), G, F, YAN/componentes disponibles, E, Gly, Brix, densidad</t>
        </is>
      </c>
      <c r="J8" s="2" t="inlineStr">
        <is>
          <t>ALTA</t>
        </is>
      </c>
      <c r="K8" s="2" t="inlineStr">
        <is>
          <t>Pre-pulso −17.5 h; cercanía al máximo</t>
        </is>
      </c>
      <c r="L8" s="2" t="inlineStr">
        <is>
          <t>Sí</t>
        </is>
      </c>
      <c r="M8" s="2" t="inlineStr">
        <is>
          <t>30 min</t>
        </is>
      </c>
      <c r="N8" s="2" t="inlineStr"/>
      <c r="O8" s="5">
        <f>IF(N8="","",SUMIFS($N$2:N8,$A$2:A8,A8))</f>
        <v/>
      </c>
      <c r="P8" s="2" t="inlineStr">
        <is>
          <t>Separa crecimiento y consumo previos del posterior efecto nutricional.</t>
        </is>
      </c>
    </row>
    <row r="9">
      <c r="A9" s="2" t="inlineStr">
        <is>
          <t>NM26-A</t>
        </is>
      </c>
      <c r="B9" s="2" t="inlineStr">
        <is>
          <t>F1</t>
        </is>
      </c>
      <c r="C9" s="2" t="n">
        <v>66.75</v>
      </c>
      <c r="D9" s="3" t="n">
        <v>46289</v>
      </c>
      <c r="E9" s="4" t="n">
        <v>0.34375</v>
      </c>
      <c r="F9" s="2" t="inlineStr"/>
      <c r="G9" s="4" t="inlineStr"/>
      <c r="H9" s="2" t="inlineStr">
        <is>
          <t>Manual compleja</t>
        </is>
      </c>
      <c r="I9" s="2" t="inlineStr">
        <is>
          <t>Oculyze (X/Xd), biomasa, G, F, YAN/componentes disponibles, E, Gly, Brix, densidad, CO2 disuelto</t>
        </is>
      </c>
      <c r="J9" s="2" t="inlineStr">
        <is>
          <t>ALTA</t>
        </is>
      </c>
      <c r="K9" s="2" t="inlineStr">
        <is>
          <t>Pre-pulso −0.5 h</t>
        </is>
      </c>
      <c r="L9" s="2" t="inlineStr">
        <is>
          <t>Sí</t>
        </is>
      </c>
      <c r="M9" s="2" t="inlineStr">
        <is>
          <t>30 min</t>
        </is>
      </c>
      <c r="N9" s="2" t="inlineStr"/>
      <c r="O9" s="5">
        <f>IF(N9="","",SUMIFS($N$2:N9,$A$2:A9,A9))</f>
        <v/>
      </c>
      <c r="P9" s="2" t="inlineStr">
        <is>
          <t>Baseline emparejada inmediata antes del pulso/pseudo-pulso.</t>
        </is>
      </c>
    </row>
    <row r="10">
      <c r="A10" s="2" t="inlineStr">
        <is>
          <t>NM26-A</t>
        </is>
      </c>
      <c r="B10" s="2" t="inlineStr">
        <is>
          <t>F1</t>
        </is>
      </c>
      <c r="C10" s="2" t="n">
        <v>68.25</v>
      </c>
      <c r="D10" s="3" t="n">
        <v>46289</v>
      </c>
      <c r="E10" s="4" t="n">
        <v>0.40625</v>
      </c>
      <c r="F10" s="2" t="inlineStr"/>
      <c r="G10" s="4" t="inlineStr"/>
      <c r="H10" s="2" t="inlineStr">
        <is>
          <t>Manual simple</t>
        </is>
      </c>
      <c r="I10" s="2" t="inlineStr">
        <is>
          <t>Brix, densidad, CO2 disuelto</t>
        </is>
      </c>
      <c r="J10" s="2" t="inlineStr">
        <is>
          <t>MEDIA</t>
        </is>
      </c>
      <c r="K10" s="2" t="inlineStr">
        <is>
          <t>Post-pulso +1 h</t>
        </is>
      </c>
      <c r="L10" s="2" t="inlineStr">
        <is>
          <t>Sí</t>
        </is>
      </c>
      <c r="M10" s="2" t="inlineStr">
        <is>
          <t>10 min</t>
        </is>
      </c>
      <c r="N10" s="2" t="inlineStr"/>
      <c r="O10" s="5">
        <f>IF(N10="","",SUMIFS($N$2:N10,$A$2:A10,A10))</f>
        <v/>
      </c>
      <c r="P10" s="2" t="inlineStr">
        <is>
          <t>Punto físico temprano; CO2 gaseoso y T continúan a alta resolución.</t>
        </is>
      </c>
    </row>
    <row r="11">
      <c r="A11" s="2" t="inlineStr">
        <is>
          <t>NM26-A</t>
        </is>
      </c>
      <c r="B11" s="2" t="inlineStr">
        <is>
          <t>F1</t>
        </is>
      </c>
      <c r="C11" s="2" t="n">
        <v>69.25</v>
      </c>
      <c r="D11" s="3" t="n">
        <v>46289</v>
      </c>
      <c r="E11" s="4" t="n">
        <v>0.4479166666666667</v>
      </c>
      <c r="F11" s="2" t="inlineStr"/>
      <c r="G11" s="4" t="inlineStr"/>
      <c r="H11" s="2" t="inlineStr">
        <is>
          <t>Manual compleja</t>
        </is>
      </c>
      <c r="I11" s="2" t="inlineStr">
        <is>
          <t>Oculyze (X/Xd), G, F, YAN/componentes disponibles, Brix, densidad</t>
        </is>
      </c>
      <c r="J11" s="2" t="inlineStr">
        <is>
          <t>ALTA</t>
        </is>
      </c>
      <c r="K11" s="2" t="inlineStr">
        <is>
          <t>Post-pulso +2 h</t>
        </is>
      </c>
      <c r="L11" s="2" t="inlineStr">
        <is>
          <t>Sí</t>
        </is>
      </c>
      <c r="M11" s="2" t="inlineStr">
        <is>
          <t>25 min</t>
        </is>
      </c>
      <c r="N11" s="2" t="inlineStr"/>
      <c r="O11" s="5">
        <f>IF(N11="","",SUMIFS($N$2:N11,$A$2:A11,A11))</f>
        <v/>
      </c>
      <c r="P11" s="2" t="inlineStr">
        <is>
          <t>Captura retardo/subida temprana y salto observado de N sin inventar ΔN.</t>
        </is>
      </c>
    </row>
    <row r="12">
      <c r="A12" s="2" t="inlineStr">
        <is>
          <t>NM26-A</t>
        </is>
      </c>
      <c r="B12" s="2" t="inlineStr">
        <is>
          <t>F1</t>
        </is>
      </c>
      <c r="C12" s="2" t="n">
        <v>71.25</v>
      </c>
      <c r="D12" s="3" t="n">
        <v>46289</v>
      </c>
      <c r="E12" s="4" t="n">
        <v>0.53125</v>
      </c>
      <c r="F12" s="2" t="inlineStr"/>
      <c r="G12" s="4" t="inlineStr"/>
      <c r="H12" s="2" t="inlineStr">
        <is>
          <t>Manual simple</t>
        </is>
      </c>
      <c r="I12" s="2" t="inlineStr">
        <is>
          <t>Brix, densidad, CO2 disuelto</t>
        </is>
      </c>
      <c r="J12" s="2" t="inlineStr">
        <is>
          <t>MEDIA</t>
        </is>
      </c>
      <c r="K12" s="2" t="inlineStr">
        <is>
          <t>Post-pulso +4 h</t>
        </is>
      </c>
      <c r="L12" s="2" t="inlineStr">
        <is>
          <t>Sí</t>
        </is>
      </c>
      <c r="M12" s="2" t="inlineStr">
        <is>
          <t>10 min</t>
        </is>
      </c>
      <c r="N12" s="2" t="inlineStr"/>
      <c r="O12" s="5">
        <f>IF(N12="","",SUMIFS($N$2:N12,$A$2:A12,A12))</f>
        <v/>
      </c>
      <c r="P12" s="2" t="inlineStr">
        <is>
          <t>Contrasta producción metabólica con almacenamiento/liberación gaseosa.</t>
        </is>
      </c>
    </row>
    <row r="13">
      <c r="A13" s="2" t="inlineStr">
        <is>
          <t>NM26-A</t>
        </is>
      </c>
      <c r="B13" s="2" t="inlineStr">
        <is>
          <t>F1</t>
        </is>
      </c>
      <c r="C13" s="2" t="n">
        <v>73.25</v>
      </c>
      <c r="D13" s="3" t="n">
        <v>46289</v>
      </c>
      <c r="E13" s="4" t="n">
        <v>0.6145833333333334</v>
      </c>
      <c r="F13" s="2" t="inlineStr"/>
      <c r="G13" s="4" t="inlineStr"/>
      <c r="H13" s="2" t="inlineStr">
        <is>
          <t>Manual compleja</t>
        </is>
      </c>
      <c r="I13" s="2" t="inlineStr">
        <is>
          <t>Oculyze (X/Xd), biomasa, G, F, YAN/componentes disponibles, E, Gly, Brix, densidad</t>
        </is>
      </c>
      <c r="J13" s="2" t="inlineStr">
        <is>
          <t>ALTA</t>
        </is>
      </c>
      <c r="K13" s="2" t="inlineStr">
        <is>
          <t>Post-pulso +6 h</t>
        </is>
      </c>
      <c r="L13" s="2" t="inlineStr">
        <is>
          <t>Sí</t>
        </is>
      </c>
      <c r="M13" s="2" t="inlineStr">
        <is>
          <t>30 min</t>
        </is>
      </c>
      <c r="N13" s="2" t="inlineStr"/>
      <c r="O13" s="5">
        <f>IF(N13="","",SUMIFS($N$2:N13,$A$2:A13,A13))</f>
        <v/>
      </c>
      <c r="P13" s="2" t="inlineStr">
        <is>
          <t>Cerca del máximo diagnóstico de respuesta rápida (~5–6 h).</t>
        </is>
      </c>
    </row>
    <row r="14">
      <c r="A14" s="2" t="inlineStr">
        <is>
          <t>NM26-A</t>
        </is>
      </c>
      <c r="B14" s="2" t="inlineStr">
        <is>
          <t>F1</t>
        </is>
      </c>
      <c r="C14" s="2" t="n">
        <v>91.25</v>
      </c>
      <c r="D14" s="3" t="n">
        <v>46290</v>
      </c>
      <c r="E14" s="4" t="n">
        <v>0.3645833333333333</v>
      </c>
      <c r="F14" s="2" t="inlineStr"/>
      <c r="G14" s="4" t="inlineStr"/>
      <c r="H14" s="2" t="inlineStr">
        <is>
          <t>Manual compleja</t>
        </is>
      </c>
      <c r="I14" s="2" t="inlineStr">
        <is>
          <t>Oculyze (X/Xd), biomasa, G, F, YAN/componentes disponibles, E, Gly, Brix, densidad, CO2 disuelto</t>
        </is>
      </c>
      <c r="J14" s="2" t="inlineStr">
        <is>
          <t>ALTA</t>
        </is>
      </c>
      <c r="K14" s="2" t="inlineStr">
        <is>
          <t>Post-pulso +24 h</t>
        </is>
      </c>
      <c r="L14" s="2" t="inlineStr">
        <is>
          <t>Sí</t>
        </is>
      </c>
      <c r="M14" s="2" t="inlineStr">
        <is>
          <t>30 min</t>
        </is>
      </c>
      <c r="N14" s="2" t="inlineStr"/>
      <c r="O14" s="5">
        <f>IF(N14="","",SUMIFS($N$2:N14,$A$2:A14,A14))</f>
        <v/>
      </c>
      <c r="P14" s="2" t="inlineStr">
        <is>
          <t>Evalúa persistencia frente a convergencia del transitorio.</t>
        </is>
      </c>
    </row>
    <row r="15">
      <c r="A15" s="2" t="inlineStr">
        <is>
          <t>NM26-A</t>
        </is>
      </c>
      <c r="B15" s="2" t="inlineStr">
        <is>
          <t>F1</t>
        </is>
      </c>
      <c r="C15" s="2" t="n">
        <v>162.75</v>
      </c>
      <c r="D15" s="3" t="n">
        <v>46293</v>
      </c>
      <c r="E15" s="4" t="n">
        <v>0.34375</v>
      </c>
      <c r="F15" s="2" t="inlineStr"/>
      <c r="G15" s="4" t="inlineStr"/>
      <c r="H15" s="2" t="inlineStr">
        <is>
          <t>Manual compleja</t>
        </is>
      </c>
      <c r="I15" s="2" t="inlineStr">
        <is>
          <t>Oculyze (X/Xd), biomasa, G, F, YAN/componentes disponibles, E, Gly, Brix, densidad, CO2 disuelto</t>
        </is>
      </c>
      <c r="J15" s="2" t="inlineStr">
        <is>
          <t>ALTA</t>
        </is>
      </c>
      <c r="K15" s="2" t="inlineStr">
        <is>
          <t>Post-pulso +95.5 h; cola</t>
        </is>
      </c>
      <c r="L15" s="2" t="inlineStr">
        <is>
          <t>Sí</t>
        </is>
      </c>
      <c r="M15" s="2" t="inlineStr">
        <is>
          <t>30 min</t>
        </is>
      </c>
      <c r="N15" s="2" t="inlineStr"/>
      <c r="O15" s="5">
        <f>IF(N15="","",SUMIFS($N$2:N15,$A$2:A15,A15))</f>
        <v/>
      </c>
      <c r="P15" s="2" t="inlineStr">
        <is>
          <t>Ancla terminación, fructosa residual y aparición de Xd tras el fin de semana.</t>
        </is>
      </c>
    </row>
    <row r="16">
      <c r="A16" s="2" t="inlineStr">
        <is>
          <t>NM26-A</t>
        </is>
      </c>
      <c r="B16" s="2" t="inlineStr">
        <is>
          <t>F1</t>
        </is>
      </c>
      <c r="C16" s="2" t="n">
        <v>210.75</v>
      </c>
      <c r="D16" s="3" t="n">
        <v>46295</v>
      </c>
      <c r="E16" s="4" t="n">
        <v>0.34375</v>
      </c>
      <c r="F16" s="2" t="inlineStr"/>
      <c r="G16" s="4" t="inlineStr"/>
      <c r="H16" s="2" t="inlineStr">
        <is>
          <t>Manual compleja</t>
        </is>
      </c>
      <c r="I16" s="2" t="inlineStr">
        <is>
          <t>Oculyze (X/Xd), G, F, YAN/componentes disponibles, E, Gly, Brix, densidad</t>
        </is>
      </c>
      <c r="J16" s="2" t="inlineStr">
        <is>
          <t>MEDIA</t>
        </is>
      </c>
      <c r="K16" s="2" t="inlineStr">
        <is>
          <t>Post-pulso +143.5 h; cola tardía</t>
        </is>
      </c>
      <c r="L16" s="2" t="inlineStr">
        <is>
          <t>Sí</t>
        </is>
      </c>
      <c r="M16" s="2" t="inlineStr">
        <is>
          <t>30 min</t>
        </is>
      </c>
      <c r="N16" s="2" t="inlineStr"/>
      <c r="O16" s="5">
        <f>IF(N16="","",SUMIFS($N$2:N16,$A$2:A16,A16))</f>
        <v/>
      </c>
      <c r="P16" s="2" t="inlineStr">
        <is>
          <t>Distingue terminación basal de efecto sostenido.</t>
        </is>
      </c>
    </row>
    <row r="17">
      <c r="A17" s="2" t="inlineStr">
        <is>
          <t>NM26-A</t>
        </is>
      </c>
      <c r="B17" s="2" t="inlineStr">
        <is>
          <t>F1</t>
        </is>
      </c>
      <c r="C17" s="2" t="n">
        <v>258.75</v>
      </c>
      <c r="D17" s="3" t="n">
        <v>46297</v>
      </c>
      <c r="E17" s="4" t="n">
        <v>0.34375</v>
      </c>
      <c r="F17" s="2" t="inlineStr"/>
      <c r="G17" s="4" t="inlineStr"/>
      <c r="H17" s="2" t="inlineStr">
        <is>
          <t>Manual compleja / final</t>
        </is>
      </c>
      <c r="I17" s="2" t="inlineStr">
        <is>
          <t>Oculyze (X/Xd), biomasa, G, F, YAN/componentes disponibles, E, Gly, Brix, densidad, CO2 disuelto</t>
        </is>
      </c>
      <c r="J17" s="2" t="inlineStr">
        <is>
          <t>ALTA</t>
        </is>
      </c>
      <c r="K17" s="2" t="inlineStr">
        <is>
          <t>Post-pulso +191.5 h; final planificado</t>
        </is>
      </c>
      <c r="L17" s="2" t="inlineStr">
        <is>
          <t>Sí</t>
        </is>
      </c>
      <c r="M17" s="2" t="inlineStr">
        <is>
          <t>30 min</t>
        </is>
      </c>
      <c r="N17" s="2" t="inlineStr"/>
      <c r="O17" s="5">
        <f>IF(N17="","",SUMIFS($N$2:N17,$A$2:A17,A17))</f>
        <v/>
      </c>
      <c r="P17" s="2" t="inlineStr">
        <is>
          <t>Si el criterio final se cumple antes, trasladar este conjunto al cierre y registrar la hora real.</t>
        </is>
      </c>
    </row>
    <row r="18">
      <c r="A18" s="2" t="inlineStr">
        <is>
          <t>NM26-A</t>
        </is>
      </c>
      <c r="B18" s="2" t="inlineStr">
        <is>
          <t>F1</t>
        </is>
      </c>
      <c r="C18" s="2" t="n">
        <v>67.25</v>
      </c>
      <c r="D18" s="3" t="n">
        <v>46289</v>
      </c>
      <c r="E18" s="4" t="n">
        <v>0.3645833333333333</v>
      </c>
      <c r="F18" s="2" t="inlineStr"/>
      <c r="G18" s="4" t="inlineStr"/>
      <c r="H18" s="2" t="inlineStr">
        <is>
          <t>Evento de proceso</t>
        </is>
      </c>
      <c r="I18" s="2" t="inlineStr">
        <is>
          <t>Marca temporal solamente; no añadir líquido ni producto</t>
        </is>
      </c>
      <c r="J18" s="2" t="inlineStr">
        <is>
          <t>ALTA</t>
        </is>
      </c>
      <c r="K18" s="2" t="inlineStr">
        <is>
          <t>Pseudo-pulso; sin adición</t>
        </is>
      </c>
      <c r="L18" s="2" t="inlineStr">
        <is>
          <t>No</t>
        </is>
      </c>
      <c r="M18" s="2" t="inlineStr">
        <is>
          <t>0 min</t>
        </is>
      </c>
      <c r="N18" s="2" t="inlineStr"/>
      <c r="O18" s="5">
        <f>IF(N18="","",SUMIFS($N$2:N18,$A$2:A18,A18))</f>
        <v/>
      </c>
      <c r="P18" s="2" t="inlineStr">
        <is>
          <t>Criterio primario: tiempo fijo causal t=67.25 h. Registrar tiempo real; no decidir con química futura.</t>
        </is>
      </c>
    </row>
    <row r="19">
      <c r="A19" s="2" t="inlineStr">
        <is>
          <t>NM26-B</t>
        </is>
      </c>
      <c r="B19" s="2" t="inlineStr">
        <is>
          <t>F2</t>
        </is>
      </c>
      <c r="C19" s="2" t="n">
        <v>-1</v>
      </c>
      <c r="D19" s="3" t="n">
        <v>46286</v>
      </c>
      <c r="E19" s="4" t="n">
        <v>0.5381944444444444</v>
      </c>
      <c r="F19" s="2" t="inlineStr"/>
      <c r="G19" s="4" t="inlineStr"/>
      <c r="H19" s="2" t="inlineStr">
        <is>
          <t>Continua / automática</t>
        </is>
      </c>
      <c r="I19" s="2" t="inlineStr">
        <is>
          <t>CO2 gaseoso y temperatura</t>
        </is>
      </c>
      <c r="J19" s="2" t="inlineStr">
        <is>
          <t>ALTA</t>
        </is>
      </c>
      <c r="K19" s="2" t="inlineStr">
        <is>
          <t>Desde −1 h hasta cierre</t>
        </is>
      </c>
      <c r="L19" s="2" t="inlineStr">
        <is>
          <t>No</t>
        </is>
      </c>
      <c r="M19" s="2" t="inlineStr">
        <is>
          <t>Continua</t>
        </is>
      </c>
      <c r="N19" s="2" t="inlineStr"/>
      <c r="O19" s="5">
        <f>IF(N19="","",SUMIFS($N$2:N19,$A$2:A19,A19))</f>
        <v/>
      </c>
      <c r="P19" s="2" t="inlineStr">
        <is>
          <t>Verificar timestamps, caudalímetro, blanco, hermeticidad, volumen/headspace e interrupciones.</t>
        </is>
      </c>
    </row>
    <row r="20">
      <c r="A20" s="2" t="inlineStr">
        <is>
          <t>NM26-B</t>
        </is>
      </c>
      <c r="B20" s="2" t="inlineStr">
        <is>
          <t>F2</t>
        </is>
      </c>
      <c r="C20" s="2" t="n">
        <v>-1</v>
      </c>
      <c r="D20" s="3" t="n">
        <v>46286</v>
      </c>
      <c r="E20" s="4" t="n">
        <v>0.5381944444444444</v>
      </c>
      <c r="F20" s="2" t="inlineStr"/>
      <c r="G20" s="4" t="inlineStr"/>
      <c r="H20" s="2" t="inlineStr">
        <is>
          <t>Continua / automática opcional</t>
        </is>
      </c>
      <c r="I20" s="2" t="inlineStr">
        <is>
          <t>O2 disuelto, solo si existe sonda operacional validada</t>
        </is>
      </c>
      <c r="J20" s="2" t="inlineStr">
        <is>
          <t>OPCIONAL</t>
        </is>
      </c>
      <c r="K20" s="2" t="inlineStr">
        <is>
          <t>Desde antes de inocular hasta transición anaeróbica</t>
        </is>
      </c>
      <c r="L20" s="2" t="inlineStr">
        <is>
          <t>No</t>
        </is>
      </c>
      <c r="M20" s="2" t="inlineStr">
        <is>
          <t>Continua</t>
        </is>
      </c>
      <c r="N20" s="2" t="inlineStr"/>
      <c r="O20" s="5">
        <f>IF(N20="","",SUMIFS($N$2:N20,$A$2:A20,A20))</f>
        <v/>
      </c>
      <c r="P20" s="2" t="inlineStr">
        <is>
          <t>O2 es variable auxiliar de la capa CO2, no estado del modelo central; no hacer viable el plan a costa de esta medición.</t>
        </is>
      </c>
    </row>
    <row r="21">
      <c r="A21" s="2" t="inlineStr">
        <is>
          <t>NM26-B</t>
        </is>
      </c>
      <c r="B21" s="2" t="inlineStr">
        <is>
          <t>F2</t>
        </is>
      </c>
      <c r="C21" s="2" t="n">
        <v>0.25</v>
      </c>
      <c r="D21" s="3" t="n">
        <v>46286</v>
      </c>
      <c r="E21" s="4" t="n">
        <v>0.5902777777777778</v>
      </c>
      <c r="F21" s="2" t="inlineStr"/>
      <c r="G21" s="4" t="inlineStr"/>
      <c r="H21" s="2" t="inlineStr">
        <is>
          <t>Manual compleja</t>
        </is>
      </c>
      <c r="I21" s="2" t="inlineStr">
        <is>
          <t>Oculyze (X/Xd), biomasa, G, F, YAN/componentes disponibles, E, Gly, Brix, densidad, CO2 disuelto, T de muestra</t>
        </is>
      </c>
      <c r="J21" s="2" t="inlineStr">
        <is>
          <t>ALTA</t>
        </is>
      </c>
      <c r="K21" s="2" t="inlineStr">
        <is>
          <t>Condición inicial posinoculación</t>
        </is>
      </c>
      <c r="L21" s="2" t="inlineStr">
        <is>
          <t>Sí</t>
        </is>
      </c>
      <c r="M21" s="2" t="inlineStr">
        <is>
          <t>30 min</t>
        </is>
      </c>
      <c r="N21" s="2" t="inlineStr"/>
      <c r="O21" s="5">
        <f>IF(N21="","",SUMIFS($N$2:N21,$A$2:A21,A21))</f>
        <v/>
      </c>
      <c r="P21" s="2" t="inlineStr">
        <is>
          <t>t≈0; sincronizar con fin de inoculación y adquisición. Réplicas técnicas Oculyze si son viables.</t>
        </is>
      </c>
    </row>
    <row r="22">
      <c r="A22" s="2" t="inlineStr">
        <is>
          <t>NM26-B</t>
        </is>
      </c>
      <c r="B22" s="2" t="inlineStr">
        <is>
          <t>F2</t>
        </is>
      </c>
      <c r="C22" s="2" t="n">
        <v>18.75</v>
      </c>
      <c r="D22" s="3" t="n">
        <v>46287</v>
      </c>
      <c r="E22" s="4" t="n">
        <v>0.3611111111111111</v>
      </c>
      <c r="F22" s="2" t="inlineStr"/>
      <c r="G22" s="4" t="inlineStr"/>
      <c r="H22" s="2" t="inlineStr">
        <is>
          <t>Manual compleja</t>
        </is>
      </c>
      <c r="I22" s="2" t="inlineStr">
        <is>
          <t>Oculyze (X/Xd), biomasa, Brix, densidad</t>
        </is>
      </c>
      <c r="J22" s="2" t="inlineStr">
        <is>
          <t>MEDIA</t>
        </is>
      </c>
      <c r="K22" s="2" t="inlineStr">
        <is>
          <t>Pre-pulso −48.5 h; crecimiento temprano</t>
        </is>
      </c>
      <c r="L22" s="2" t="inlineStr">
        <is>
          <t>Sí</t>
        </is>
      </c>
      <c r="M22" s="2" t="inlineStr">
        <is>
          <t>20 min</t>
        </is>
      </c>
      <c r="N22" s="2" t="inlineStr"/>
      <c r="O22" s="5">
        <f>IF(N22="","",SUMIFS($N$2:N22,$A$2:A22,A22))</f>
        <v/>
      </c>
      <c r="P22" s="2" t="inlineStr">
        <is>
          <t>Ancla temprana; evita depender de una sola observación de crecimiento.</t>
        </is>
      </c>
    </row>
    <row r="23">
      <c r="A23" s="2" t="inlineStr">
        <is>
          <t>NM26-B</t>
        </is>
      </c>
      <c r="B23" s="2" t="inlineStr">
        <is>
          <t>F2</t>
        </is>
      </c>
      <c r="C23" s="2" t="n">
        <v>24.25</v>
      </c>
      <c r="D23" s="3" t="n">
        <v>46287</v>
      </c>
      <c r="E23" s="4" t="n">
        <v>0.5902777777777778</v>
      </c>
      <c r="F23" s="2" t="inlineStr"/>
      <c r="G23" s="4" t="inlineStr"/>
      <c r="H23" s="2" t="inlineStr">
        <is>
          <t>Manual compleja</t>
        </is>
      </c>
      <c r="I23" s="2" t="inlineStr">
        <is>
          <t>Oculyze (X/Xd), G, F, YAN/componentes disponibles, E, Gly, Brix, densidad, CO2 disuelto</t>
        </is>
      </c>
      <c r="J23" s="2" t="inlineStr">
        <is>
          <t>ALTA</t>
        </is>
      </c>
      <c r="K23" s="2" t="inlineStr">
        <is>
          <t>Pre-pulso −43 h; onset histórico 22–24 h</t>
        </is>
      </c>
      <c r="L23" s="2" t="inlineStr">
        <is>
          <t>Sí</t>
        </is>
      </c>
      <c r="M23" s="2" t="inlineStr">
        <is>
          <t>30 min</t>
        </is>
      </c>
      <c r="N23" s="2" t="inlineStr"/>
      <c r="O23" s="5">
        <f>IF(N23="","",SUMIFS($N$2:N23,$A$2:A23,A23))</f>
        <v/>
      </c>
      <c r="P23" s="2" t="inlineStr">
        <is>
          <t>Ancla metabolismo–CO2 cerca del onset observado en LAB016–018.</t>
        </is>
      </c>
    </row>
    <row r="24">
      <c r="A24" s="2" t="inlineStr">
        <is>
          <t>NM26-B</t>
        </is>
      </c>
      <c r="B24" s="2" t="inlineStr">
        <is>
          <t>F2</t>
        </is>
      </c>
      <c r="C24" s="2" t="n">
        <v>42.75</v>
      </c>
      <c r="D24" s="3" t="n">
        <v>46288</v>
      </c>
      <c r="E24" s="4" t="n">
        <v>0.3611111111111111</v>
      </c>
      <c r="F24" s="2" t="inlineStr"/>
      <c r="G24" s="4" t="inlineStr"/>
      <c r="H24" s="2" t="inlineStr">
        <is>
          <t>Manual compleja</t>
        </is>
      </c>
      <c r="I24" s="2" t="inlineStr">
        <is>
          <t>Oculyze (X/Xd), biomasa, Brix, densidad</t>
        </is>
      </c>
      <c r="J24" s="2" t="inlineStr">
        <is>
          <t>ALTA</t>
        </is>
      </c>
      <c r="K24" s="2" t="inlineStr">
        <is>
          <t>Pre-pulso −24.5 h; crecimiento / cercanía al pico</t>
        </is>
      </c>
      <c r="L24" s="2" t="inlineStr">
        <is>
          <t>Sí</t>
        </is>
      </c>
      <c r="M24" s="2" t="inlineStr">
        <is>
          <t>20 min</t>
        </is>
      </c>
      <c r="N24" s="2" t="inlineStr"/>
      <c r="O24" s="5">
        <f>IF(N24="","",SUMIFS($N$2:N24,$A$2:A24,A24))</f>
        <v/>
      </c>
      <c r="P24" s="2" t="inlineStr">
        <is>
          <t>Cobertura del ascenso de X y del máximo gaseoso histórico.</t>
        </is>
      </c>
    </row>
    <row r="25">
      <c r="A25" s="2" t="inlineStr">
        <is>
          <t>NM26-B</t>
        </is>
      </c>
      <c r="B25" s="2" t="inlineStr">
        <is>
          <t>F2</t>
        </is>
      </c>
      <c r="C25" s="2" t="n">
        <v>49.75</v>
      </c>
      <c r="D25" s="3" t="n">
        <v>46288</v>
      </c>
      <c r="E25" s="4" t="n">
        <v>0.6527777777777778</v>
      </c>
      <c r="F25" s="2" t="inlineStr"/>
      <c r="G25" s="4" t="inlineStr"/>
      <c r="H25" s="2" t="inlineStr">
        <is>
          <t>Manual compleja</t>
        </is>
      </c>
      <c r="I25" s="2" t="inlineStr">
        <is>
          <t>Oculyze (X/Xd), G, F, YAN/componentes disponibles, E, Gly, Brix, densidad</t>
        </is>
      </c>
      <c r="J25" s="2" t="inlineStr">
        <is>
          <t>ALTA</t>
        </is>
      </c>
      <c r="K25" s="2" t="inlineStr">
        <is>
          <t>Pre-pulso −17.5 h; cercanía al máximo</t>
        </is>
      </c>
      <c r="L25" s="2" t="inlineStr">
        <is>
          <t>Sí</t>
        </is>
      </c>
      <c r="M25" s="2" t="inlineStr">
        <is>
          <t>30 min</t>
        </is>
      </c>
      <c r="N25" s="2" t="inlineStr"/>
      <c r="O25" s="5">
        <f>IF(N25="","",SUMIFS($N$2:N25,$A$2:A25,A25))</f>
        <v/>
      </c>
      <c r="P25" s="2" t="inlineStr">
        <is>
          <t>Separa crecimiento y consumo previos del posterior efecto nutricional.</t>
        </is>
      </c>
    </row>
    <row r="26">
      <c r="A26" s="2" t="inlineStr">
        <is>
          <t>NM26-B</t>
        </is>
      </c>
      <c r="B26" s="2" t="inlineStr">
        <is>
          <t>F2</t>
        </is>
      </c>
      <c r="C26" s="2" t="n">
        <v>66.75</v>
      </c>
      <c r="D26" s="3" t="n">
        <v>46289</v>
      </c>
      <c r="E26" s="4" t="n">
        <v>0.3611111111111111</v>
      </c>
      <c r="F26" s="2" t="inlineStr"/>
      <c r="G26" s="4" t="inlineStr"/>
      <c r="H26" s="2" t="inlineStr">
        <is>
          <t>Manual compleja</t>
        </is>
      </c>
      <c r="I26" s="2" t="inlineStr">
        <is>
          <t>Oculyze (X/Xd), biomasa, G, F, YAN/componentes disponibles, E, Gly, Brix, densidad, CO2 disuelto</t>
        </is>
      </c>
      <c r="J26" s="2" t="inlineStr">
        <is>
          <t>ALTA</t>
        </is>
      </c>
      <c r="K26" s="2" t="inlineStr">
        <is>
          <t>Pre-pulso −0.5 h</t>
        </is>
      </c>
      <c r="L26" s="2" t="inlineStr">
        <is>
          <t>Sí</t>
        </is>
      </c>
      <c r="M26" s="2" t="inlineStr">
        <is>
          <t>30 min</t>
        </is>
      </c>
      <c r="N26" s="2" t="inlineStr"/>
      <c r="O26" s="5">
        <f>IF(N26="","",SUMIFS($N$2:N26,$A$2:A26,A26))</f>
        <v/>
      </c>
      <c r="P26" s="2" t="inlineStr">
        <is>
          <t>Baseline emparejada inmediata antes del pulso/pseudo-pulso.</t>
        </is>
      </c>
    </row>
    <row r="27">
      <c r="A27" s="2" t="inlineStr">
        <is>
          <t>NM26-B</t>
        </is>
      </c>
      <c r="B27" s="2" t="inlineStr">
        <is>
          <t>F2</t>
        </is>
      </c>
      <c r="C27" s="2" t="n">
        <v>68.25</v>
      </c>
      <c r="D27" s="3" t="n">
        <v>46289</v>
      </c>
      <c r="E27" s="4" t="n">
        <v>0.4236111111111111</v>
      </c>
      <c r="F27" s="2" t="inlineStr"/>
      <c r="G27" s="4" t="inlineStr"/>
      <c r="H27" s="2" t="inlineStr">
        <is>
          <t>Manual simple</t>
        </is>
      </c>
      <c r="I27" s="2" t="inlineStr">
        <is>
          <t>Brix, densidad, CO2 disuelto</t>
        </is>
      </c>
      <c r="J27" s="2" t="inlineStr">
        <is>
          <t>MEDIA</t>
        </is>
      </c>
      <c r="K27" s="2" t="inlineStr">
        <is>
          <t>Post-pulso +1 h</t>
        </is>
      </c>
      <c r="L27" s="2" t="inlineStr">
        <is>
          <t>Sí</t>
        </is>
      </c>
      <c r="M27" s="2" t="inlineStr">
        <is>
          <t>10 min</t>
        </is>
      </c>
      <c r="N27" s="2" t="inlineStr"/>
      <c r="O27" s="5">
        <f>IF(N27="","",SUMIFS($N$2:N27,$A$2:A27,A27))</f>
        <v/>
      </c>
      <c r="P27" s="2" t="inlineStr">
        <is>
          <t>Punto físico temprano; CO2 gaseoso y T continúan a alta resolución.</t>
        </is>
      </c>
    </row>
    <row r="28">
      <c r="A28" s="2" t="inlineStr">
        <is>
          <t>NM26-B</t>
        </is>
      </c>
      <c r="B28" s="2" t="inlineStr">
        <is>
          <t>F2</t>
        </is>
      </c>
      <c r="C28" s="2" t="n">
        <v>69.25</v>
      </c>
      <c r="D28" s="3" t="n">
        <v>46289</v>
      </c>
      <c r="E28" s="4" t="n">
        <v>0.4652777777777778</v>
      </c>
      <c r="F28" s="2" t="inlineStr"/>
      <c r="G28" s="4" t="inlineStr"/>
      <c r="H28" s="2" t="inlineStr">
        <is>
          <t>Manual compleja</t>
        </is>
      </c>
      <c r="I28" s="2" t="inlineStr">
        <is>
          <t>Oculyze (X/Xd), G, F, YAN/componentes disponibles, Brix, densidad</t>
        </is>
      </c>
      <c r="J28" s="2" t="inlineStr">
        <is>
          <t>ALTA</t>
        </is>
      </c>
      <c r="K28" s="2" t="inlineStr">
        <is>
          <t>Post-pulso +2 h</t>
        </is>
      </c>
      <c r="L28" s="2" t="inlineStr">
        <is>
          <t>Sí</t>
        </is>
      </c>
      <c r="M28" s="2" t="inlineStr">
        <is>
          <t>25 min</t>
        </is>
      </c>
      <c r="N28" s="2" t="inlineStr"/>
      <c r="O28" s="5">
        <f>IF(N28="","",SUMIFS($N$2:N28,$A$2:A28,A28))</f>
        <v/>
      </c>
      <c r="P28" s="2" t="inlineStr">
        <is>
          <t>Captura retardo/subida temprana y salto observado de N sin inventar ΔN.</t>
        </is>
      </c>
    </row>
    <row r="29">
      <c r="A29" s="2" t="inlineStr">
        <is>
          <t>NM26-B</t>
        </is>
      </c>
      <c r="B29" s="2" t="inlineStr">
        <is>
          <t>F2</t>
        </is>
      </c>
      <c r="C29" s="2" t="n">
        <v>71.25</v>
      </c>
      <c r="D29" s="3" t="n">
        <v>46289</v>
      </c>
      <c r="E29" s="4" t="n">
        <v>0.5486111111111112</v>
      </c>
      <c r="F29" s="2" t="inlineStr"/>
      <c r="G29" s="4" t="inlineStr"/>
      <c r="H29" s="2" t="inlineStr">
        <is>
          <t>Manual simple</t>
        </is>
      </c>
      <c r="I29" s="2" t="inlineStr">
        <is>
          <t>Brix, densidad, CO2 disuelto</t>
        </is>
      </c>
      <c r="J29" s="2" t="inlineStr">
        <is>
          <t>MEDIA</t>
        </is>
      </c>
      <c r="K29" s="2" t="inlineStr">
        <is>
          <t>Post-pulso +4 h</t>
        </is>
      </c>
      <c r="L29" s="2" t="inlineStr">
        <is>
          <t>Sí</t>
        </is>
      </c>
      <c r="M29" s="2" t="inlineStr">
        <is>
          <t>10 min</t>
        </is>
      </c>
      <c r="N29" s="2" t="inlineStr"/>
      <c r="O29" s="5">
        <f>IF(N29="","",SUMIFS($N$2:N29,$A$2:A29,A29))</f>
        <v/>
      </c>
      <c r="P29" s="2" t="inlineStr">
        <is>
          <t>Contrasta producción metabólica con almacenamiento/liberación gaseosa.</t>
        </is>
      </c>
    </row>
    <row r="30">
      <c r="A30" s="2" t="inlineStr">
        <is>
          <t>NM26-B</t>
        </is>
      </c>
      <c r="B30" s="2" t="inlineStr">
        <is>
          <t>F2</t>
        </is>
      </c>
      <c r="C30" s="2" t="n">
        <v>73.25</v>
      </c>
      <c r="D30" s="3" t="n">
        <v>46289</v>
      </c>
      <c r="E30" s="4" t="n">
        <v>0.6319444444444444</v>
      </c>
      <c r="F30" s="2" t="inlineStr"/>
      <c r="G30" s="4" t="inlineStr"/>
      <c r="H30" s="2" t="inlineStr">
        <is>
          <t>Manual compleja</t>
        </is>
      </c>
      <c r="I30" s="2" t="inlineStr">
        <is>
          <t>Oculyze (X/Xd), biomasa, G, F, YAN/componentes disponibles, E, Gly, Brix, densidad</t>
        </is>
      </c>
      <c r="J30" s="2" t="inlineStr">
        <is>
          <t>ALTA</t>
        </is>
      </c>
      <c r="K30" s="2" t="inlineStr">
        <is>
          <t>Post-pulso +6 h</t>
        </is>
      </c>
      <c r="L30" s="2" t="inlineStr">
        <is>
          <t>Sí</t>
        </is>
      </c>
      <c r="M30" s="2" t="inlineStr">
        <is>
          <t>30 min</t>
        </is>
      </c>
      <c r="N30" s="2" t="inlineStr"/>
      <c r="O30" s="5">
        <f>IF(N30="","",SUMIFS($N$2:N30,$A$2:A30,A30))</f>
        <v/>
      </c>
      <c r="P30" s="2" t="inlineStr">
        <is>
          <t>Cerca del máximo diagnóstico de respuesta rápida (~5–6 h).</t>
        </is>
      </c>
    </row>
    <row r="31">
      <c r="A31" s="2" t="inlineStr">
        <is>
          <t>NM26-B</t>
        </is>
      </c>
      <c r="B31" s="2" t="inlineStr">
        <is>
          <t>F2</t>
        </is>
      </c>
      <c r="C31" s="2" t="n">
        <v>91.25</v>
      </c>
      <c r="D31" s="3" t="n">
        <v>46290</v>
      </c>
      <c r="E31" s="4" t="n">
        <v>0.3819444444444444</v>
      </c>
      <c r="F31" s="2" t="inlineStr"/>
      <c r="G31" s="4" t="inlineStr"/>
      <c r="H31" s="2" t="inlineStr">
        <is>
          <t>Manual compleja</t>
        </is>
      </c>
      <c r="I31" s="2" t="inlineStr">
        <is>
          <t>Oculyze (X/Xd), biomasa, G, F, YAN/componentes disponibles, E, Gly, Brix, densidad, CO2 disuelto</t>
        </is>
      </c>
      <c r="J31" s="2" t="inlineStr">
        <is>
          <t>ALTA</t>
        </is>
      </c>
      <c r="K31" s="2" t="inlineStr">
        <is>
          <t>Post-pulso +24 h</t>
        </is>
      </c>
      <c r="L31" s="2" t="inlineStr">
        <is>
          <t>Sí</t>
        </is>
      </c>
      <c r="M31" s="2" t="inlineStr">
        <is>
          <t>30 min</t>
        </is>
      </c>
      <c r="N31" s="2" t="inlineStr"/>
      <c r="O31" s="5">
        <f>IF(N31="","",SUMIFS($N$2:N31,$A$2:A31,A31))</f>
        <v/>
      </c>
      <c r="P31" s="2" t="inlineStr">
        <is>
          <t>Evalúa persistencia frente a convergencia del transitorio.</t>
        </is>
      </c>
    </row>
    <row r="32">
      <c r="A32" s="2" t="inlineStr">
        <is>
          <t>NM26-B</t>
        </is>
      </c>
      <c r="B32" s="2" t="inlineStr">
        <is>
          <t>F2</t>
        </is>
      </c>
      <c r="C32" s="2" t="n">
        <v>162.75</v>
      </c>
      <c r="D32" s="3" t="n">
        <v>46293</v>
      </c>
      <c r="E32" s="4" t="n">
        <v>0.3611111111111111</v>
      </c>
      <c r="F32" s="2" t="inlineStr"/>
      <c r="G32" s="4" t="inlineStr"/>
      <c r="H32" s="2" t="inlineStr">
        <is>
          <t>Manual compleja</t>
        </is>
      </c>
      <c r="I32" s="2" t="inlineStr">
        <is>
          <t>Oculyze (X/Xd), biomasa, G, F, YAN/componentes disponibles, E, Gly, Brix, densidad, CO2 disuelto</t>
        </is>
      </c>
      <c r="J32" s="2" t="inlineStr">
        <is>
          <t>ALTA</t>
        </is>
      </c>
      <c r="K32" s="2" t="inlineStr">
        <is>
          <t>Post-pulso +95.5 h; cola</t>
        </is>
      </c>
      <c r="L32" s="2" t="inlineStr">
        <is>
          <t>Sí</t>
        </is>
      </c>
      <c r="M32" s="2" t="inlineStr">
        <is>
          <t>30 min</t>
        </is>
      </c>
      <c r="N32" s="2" t="inlineStr"/>
      <c r="O32" s="5">
        <f>IF(N32="","",SUMIFS($N$2:N32,$A$2:A32,A32))</f>
        <v/>
      </c>
      <c r="P32" s="2" t="inlineStr">
        <is>
          <t>Ancla terminación, fructosa residual y aparición de Xd tras el fin de semana.</t>
        </is>
      </c>
    </row>
    <row r="33">
      <c r="A33" s="2" t="inlineStr">
        <is>
          <t>NM26-B</t>
        </is>
      </c>
      <c r="B33" s="2" t="inlineStr">
        <is>
          <t>F2</t>
        </is>
      </c>
      <c r="C33" s="2" t="n">
        <v>210.75</v>
      </c>
      <c r="D33" s="3" t="n">
        <v>46295</v>
      </c>
      <c r="E33" s="4" t="n">
        <v>0.3611111111111111</v>
      </c>
      <c r="F33" s="2" t="inlineStr"/>
      <c r="G33" s="4" t="inlineStr"/>
      <c r="H33" s="2" t="inlineStr">
        <is>
          <t>Manual compleja</t>
        </is>
      </c>
      <c r="I33" s="2" t="inlineStr">
        <is>
          <t>Oculyze (X/Xd), G, F, YAN/componentes disponibles, E, Gly, Brix, densidad</t>
        </is>
      </c>
      <c r="J33" s="2" t="inlineStr">
        <is>
          <t>MEDIA</t>
        </is>
      </c>
      <c r="K33" s="2" t="inlineStr">
        <is>
          <t>Post-pulso +143.5 h; cola tardía</t>
        </is>
      </c>
      <c r="L33" s="2" t="inlineStr">
        <is>
          <t>Sí</t>
        </is>
      </c>
      <c r="M33" s="2" t="inlineStr">
        <is>
          <t>30 min</t>
        </is>
      </c>
      <c r="N33" s="2" t="inlineStr"/>
      <c r="O33" s="5">
        <f>IF(N33="","",SUMIFS($N$2:N33,$A$2:A33,A33))</f>
        <v/>
      </c>
      <c r="P33" s="2" t="inlineStr">
        <is>
          <t>Distingue terminación basal de efecto sostenido.</t>
        </is>
      </c>
    </row>
    <row r="34">
      <c r="A34" s="2" t="inlineStr">
        <is>
          <t>NM26-B</t>
        </is>
      </c>
      <c r="B34" s="2" t="inlineStr">
        <is>
          <t>F2</t>
        </is>
      </c>
      <c r="C34" s="2" t="n">
        <v>258.75</v>
      </c>
      <c r="D34" s="3" t="n">
        <v>46297</v>
      </c>
      <c r="E34" s="4" t="n">
        <v>0.3611111111111111</v>
      </c>
      <c r="F34" s="2" t="inlineStr"/>
      <c r="G34" s="4" t="inlineStr"/>
      <c r="H34" s="2" t="inlineStr">
        <is>
          <t>Manual compleja / final</t>
        </is>
      </c>
      <c r="I34" s="2" t="inlineStr">
        <is>
          <t>Oculyze (X/Xd), biomasa, G, F, YAN/componentes disponibles, E, Gly, Brix, densidad, CO2 disuelto</t>
        </is>
      </c>
      <c r="J34" s="2" t="inlineStr">
        <is>
          <t>ALTA</t>
        </is>
      </c>
      <c r="K34" s="2" t="inlineStr">
        <is>
          <t>Post-pulso +191.5 h; final planificado</t>
        </is>
      </c>
      <c r="L34" s="2" t="inlineStr">
        <is>
          <t>Sí</t>
        </is>
      </c>
      <c r="M34" s="2" t="inlineStr">
        <is>
          <t>30 min</t>
        </is>
      </c>
      <c r="N34" s="2" t="inlineStr"/>
      <c r="O34" s="5">
        <f>IF(N34="","",SUMIFS($N$2:N34,$A$2:A34,A34))</f>
        <v/>
      </c>
      <c r="P34" s="2" t="inlineStr">
        <is>
          <t>Si el criterio final se cumple antes, trasladar este conjunto al cierre y registrar la hora real.</t>
        </is>
      </c>
    </row>
    <row r="35">
      <c r="A35" s="2" t="inlineStr">
        <is>
          <t>NM26-B</t>
        </is>
      </c>
      <c r="B35" s="2" t="inlineStr">
        <is>
          <t>F2</t>
        </is>
      </c>
      <c r="C35" s="2" t="n">
        <v>67.25</v>
      </c>
      <c r="D35" s="3" t="n">
        <v>46289</v>
      </c>
      <c r="E35" s="4" t="n">
        <v>0.3819444444444444</v>
      </c>
      <c r="F35" s="2" t="inlineStr"/>
      <c r="G35" s="4" t="inlineStr"/>
      <c r="H35" s="2" t="inlineStr">
        <is>
          <t>Evento de proceso</t>
        </is>
      </c>
      <c r="I35" s="2" t="inlineStr">
        <is>
          <t>Producto, fabricante/tipo, masa SFX, masa FDA, volumen inicial/actual, dosis calculada, hora inicio/fin, operador, observaciones</t>
        </is>
      </c>
      <c r="J35" s="2" t="inlineStr">
        <is>
          <t>ALTA</t>
        </is>
      </c>
      <c r="K35" s="2" t="inlineStr">
        <is>
          <t>Pulso nutricional trazable</t>
        </is>
      </c>
      <c r="L35" s="2" t="inlineStr">
        <is>
          <t>Sí</t>
        </is>
      </c>
      <c r="M35" s="2" t="inlineStr">
        <is>
          <t>Por confirmar</t>
        </is>
      </c>
      <c r="N35" s="2" t="inlineStr"/>
      <c r="O35" s="5">
        <f>IF(N35="","",SUMIFS($N$2:N35,$A$2:A35,A35))</f>
        <v/>
      </c>
      <c r="P35" s="2" t="inlineStr">
        <is>
          <t>Criterio primario: tiempo fijo causal t=67.25 h. Registrar tiempo real; no decidir con química futura.</t>
        </is>
      </c>
    </row>
  </sheetData>
  <autoFilter ref="A1:P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0" customWidth="1" min="3" max="3"/>
    <col width="31" customWidth="1" min="4" max="4"/>
    <col width="74" customWidth="1" min="5" max="5"/>
  </cols>
  <sheetData>
    <row r="1" ht="34" customHeight="1">
      <c r="A1" s="1" t="inlineStr">
        <is>
          <t>Categoría</t>
        </is>
      </c>
      <c r="B1" s="1" t="inlineStr">
        <is>
          <t>Fecha/días</t>
        </is>
      </c>
      <c r="C1" s="1" t="inlineStr">
        <is>
          <t>Presencia</t>
        </is>
      </c>
      <c r="D1" s="1" t="inlineStr">
        <is>
          <t>Ventana manual planificada</t>
        </is>
      </c>
      <c r="E1" s="1" t="inlineStr">
        <is>
          <t>Decisión / pendiente antes de iniciar</t>
        </is>
      </c>
    </row>
    <row r="2">
      <c r="A2" s="2" t="inlineStr">
        <is>
          <t>Horario general</t>
        </is>
      </c>
      <c r="B2" s="2" t="inlineStr">
        <is>
          <t>Lunes–jueves</t>
        </is>
      </c>
      <c r="C2" s="2" t="inlineStr">
        <is>
          <t>08:00–17:30</t>
        </is>
      </c>
      <c r="D2" s="2" t="inlineStr">
        <is>
          <t>08:10–16:30</t>
        </is>
      </c>
      <c r="E2" s="2" t="inlineStr">
        <is>
          <t>Las muestras complejas se inician con margen; la última del plan comienza a las 15:40.</t>
        </is>
      </c>
    </row>
    <row r="3">
      <c r="A3" s="2" t="inlineStr">
        <is>
          <t>Horario general</t>
        </is>
      </c>
      <c r="B3" s="2" t="inlineStr">
        <is>
          <t>Viernes</t>
        </is>
      </c>
      <c r="C3" s="2" t="inlineStr">
        <is>
          <t>08:00–12:00</t>
        </is>
      </c>
      <c r="D3" s="2" t="inlineStr">
        <is>
          <t>08:10–11:00</t>
        </is>
      </c>
      <c r="E3" s="2" t="inlineStr">
        <is>
          <t>Solo puntos +24 h/final, a las 08:15–09:10.</t>
        </is>
      </c>
    </row>
    <row r="4">
      <c r="A4" s="2" t="inlineStr">
        <is>
          <t>Restricción especial</t>
        </is>
      </c>
      <c r="B4" s="3" t="n">
        <v>46281</v>
      </c>
      <c r="C4" s="2" t="inlineStr">
        <is>
          <t>08:00–15:30</t>
        </is>
      </c>
      <c r="D4" s="2" t="inlineStr">
        <is>
          <t>08:10–14:30</t>
        </is>
      </c>
      <c r="E4" s="2" t="inlineStr">
        <is>
          <t>No aplica al plan elegido: la campaña aún no comienza.</t>
        </is>
      </c>
    </row>
    <row r="5">
      <c r="A5" s="2" t="inlineStr">
        <is>
          <t>Restricción especial</t>
        </is>
      </c>
      <c r="B5" s="3" t="n">
        <v>46282</v>
      </c>
      <c r="C5" s="2" t="inlineStr">
        <is>
          <t>08:00–12:00</t>
        </is>
      </c>
      <c r="D5" s="2" t="inlineStr">
        <is>
          <t>08:10–11:00</t>
        </is>
      </c>
      <c r="E5" s="2" t="inlineStr">
        <is>
          <t>No aplica al plan elegido: la campaña aún no comienza.</t>
        </is>
      </c>
    </row>
    <row r="6">
      <c r="A6" s="2" t="inlineStr">
        <is>
          <t>Feriado</t>
        </is>
      </c>
      <c r="B6" s="3" t="n">
        <v>46283</v>
      </c>
      <c r="C6" s="2" t="inlineStr">
        <is>
          <t>Sin trabajo de laboratorio</t>
        </is>
      </c>
      <c r="D6" s="2" t="inlineStr">
        <is>
          <t>Sin muestras manuales</t>
        </is>
      </c>
      <c r="E6" s="2" t="inlineStr">
        <is>
          <t>Solo logging automático si hubiera una campaña activa; el plan inicia después.</t>
        </is>
      </c>
    </row>
    <row r="7">
      <c r="A7" s="2" t="inlineStr">
        <is>
          <t>Decisión calendario</t>
        </is>
      </c>
      <c r="B7" s="2" t="inlineStr">
        <is>
          <t>Comparación evaluada</t>
        </is>
      </c>
      <c r="C7" s="2" t="inlineStr">
        <is>
          <t>Inicio antes del 16–18 descartado</t>
        </is>
      </c>
      <c r="D7" s="2" t="inlineStr">
        <is>
          <t>Inicio elegido: lunes 21-09-2026</t>
        </is>
      </c>
      <c r="E7" s="2" t="inlineStr">
        <is>
          <t>Evita perder pre-pulso/post-pulso por jornada reducida y feriado.</t>
        </is>
      </c>
    </row>
    <row r="8">
      <c r="A8" s="2" t="inlineStr">
        <is>
          <t>Diseño mínimo</t>
        </is>
      </c>
      <c r="B8" s="2" t="inlineStr">
        <is>
          <t>Campaña pareada</t>
        </is>
      </c>
      <c r="C8" s="2" t="inlineStr">
        <is>
          <t>2 fermentadores simultáneos</t>
        </is>
      </c>
      <c r="D8" s="2" t="inlineStr">
        <is>
          <t>Desfase de 25 min</t>
        </is>
      </c>
      <c r="E8" s="2" t="inlineStr">
        <is>
          <t>Confirmar que F1 y F2 están disponibles y equivalentes; registrar siempre hora real.</t>
        </is>
      </c>
    </row>
    <row r="9">
      <c r="A9" s="2" t="inlineStr">
        <is>
          <t>Nutrición</t>
        </is>
      </c>
      <c r="B9" s="2" t="inlineStr">
        <is>
          <t>Antes de ejecutar</t>
        </is>
      </c>
      <c r="C9" s="2" t="inlineStr">
        <is>
          <t>Pendiente</t>
        </is>
      </c>
      <c r="D9" s="2" t="inlineStr">
        <is>
          <t>No ejecutar hasta confirmar</t>
        </is>
      </c>
      <c r="E9" s="2" t="inlineStr">
        <is>
          <t>Producto/fabricante/tipo; masas exactas SFX y FDA; aporte YAN real; volumen; concentración; aplicación; responsable.</t>
        </is>
      </c>
    </row>
    <row r="10">
      <c r="A10" s="2" t="inlineStr">
        <is>
          <t>Volumen</t>
        </is>
      </c>
      <c r="B10" s="2" t="inlineStr">
        <is>
          <t>Antes de ejecutar</t>
        </is>
      </c>
      <c r="C10" s="2" t="inlineStr">
        <is>
          <t>Pendiente</t>
        </is>
      </c>
      <c r="D10" s="2" t="inlineStr">
        <is>
          <t>Usar mínimo volumen validado</t>
        </is>
      </c>
      <c r="E10" s="2" t="inlineStr">
        <is>
          <t>Confirmar volumen inicial por fermentador, volumen por método y máximo acumulado admisible.</t>
        </is>
      </c>
    </row>
    <row r="11">
      <c r="A11" s="2" t="inlineStr">
        <is>
          <t>Analítica</t>
        </is>
      </c>
      <c r="B11" s="2" t="inlineStr">
        <is>
          <t>Antes de ejecutar</t>
        </is>
      </c>
      <c r="C11" s="2" t="inlineStr">
        <is>
          <t>Pendiente</t>
        </is>
      </c>
      <c r="D11" s="2" t="inlineStr">
        <is>
          <t>Reservar capacidad</t>
        </is>
      </c>
      <c r="E11" s="2" t="inlineStr">
        <is>
          <t>Confirmar reactivos, Oculyze, método de biomasa, química G/F/YAN/E/Gly y duración real de cada conjunto.</t>
        </is>
      </c>
    </row>
    <row r="12">
      <c r="A12" s="2" t="inlineStr">
        <is>
          <t>Sensores auxiliares</t>
        </is>
      </c>
      <c r="B12" s="2" t="inlineStr">
        <is>
          <t>Antes de ejecutar</t>
        </is>
      </c>
      <c r="C12" s="2" t="inlineStr">
        <is>
          <t>Pendiente</t>
        </is>
      </c>
      <c r="D12" s="2" t="inlineStr">
        <is>
          <t>No condicionan viabilidad</t>
        </is>
      </c>
      <c r="E12" s="2" t="inlineStr">
        <is>
          <t>Confirmar CO2 disuelto; O2 solo si está disponible, validado y no aumenta excesivamente la carga.</t>
        </is>
      </c>
    </row>
    <row r="13">
      <c r="A13" s="2" t="inlineStr">
        <is>
          <t>Metrología</t>
        </is>
      </c>
      <c r="B13" s="2" t="inlineStr">
        <is>
          <t>Antes de ejecutar</t>
        </is>
      </c>
      <c r="C13" s="2" t="inlineStr">
        <is>
          <t>Pendiente</t>
        </is>
      </c>
      <c r="D13" s="2" t="inlineStr">
        <is>
          <t>Previo a t=−1 h</t>
        </is>
      </c>
      <c r="E13" s="2" t="inlineStr">
        <is>
          <t>Confirmar caudalímetro, blanco, sincronización, frecuencia, convención de unidades, hermeticidad, headspace y reloj común.</t>
        </is>
      </c>
    </row>
    <row r="14">
      <c r="A14" s="2" t="inlineStr">
        <is>
          <t>Cierre</t>
        </is>
      </c>
      <c r="B14" s="2" t="inlineStr">
        <is>
          <t>Antes de ejecutar</t>
        </is>
      </c>
      <c r="C14" s="2" t="inlineStr">
        <is>
          <t>Pendiente</t>
        </is>
      </c>
      <c r="D14" s="2" t="inlineStr">
        <is>
          <t>Definir criterio causal</t>
        </is>
      </c>
      <c r="E14" s="2" t="inlineStr">
        <is>
          <t>Predefinir umbral/duración de CO2 y estabilidad de Brix/densidad para cierre; si ocurre antes, mover el conjunto final y registrar hora real.</t>
        </is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2026-09-09T11:55:56Z</dcterms:created>
  <dcterms:modified xsi:type="dcterms:W3CDTF">2026-09-09T11:55:56Z</dcterms:modified>
</cp:coreProperties>
</file>