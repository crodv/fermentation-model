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RONOGRAMA" sheetId="2" state="visible" r:id="rId2"/>
    <sheet name="PLAN_MINIMO" sheetId="3" state="visible" r:id="rId3"/>
    <sheet name="PLAN_RECOMENDADO" sheetId="4" state="visible" r:id="rId4"/>
    <sheet name="NUTRICION" sheetId="5" state="visible" r:id="rId5"/>
    <sheet name="MUESTRAS" sheetId="6" state="visible" r:id="rId6"/>
    <sheet name="OCULYZE" sheetId="7" state="visible" r:id="rId7"/>
    <sheet name="ALCOLYZER" sheetId="8" state="visible" r:id="rId8"/>
    <sheet name="CHECKLIST" sheetId="9" state="visible" r:id="rId9"/>
    <sheet name="NO_FACTIBLES" sheetId="10" state="visible" r:id="rId10"/>
  </sheets>
  <definedNames>
    <definedName name="T0_REAL">METADATA!$B$16</definedName>
    <definedName name="NUT_FIN_REAL">METADATA!$B$19</definedName>
    <definedName name="_xlnm._FilterDatabase" localSheetId="1" hidden="1">'CRONOGRAMA'!$A$1:$V$20</definedName>
    <definedName name="_xlnm._FilterDatabase" localSheetId="5" hidden="1">'MUESTRAS'!$A$1:$U$27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yyyy-mm-dd hh:mm"/>
    <numFmt numFmtId="167" formatCode="hh:mm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i val="1"/>
      <color rgb="00404040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8EA9DB"/>
      </patternFill>
    </fill>
    <fill>
      <patternFill patternType="solid"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vertical="top" wrapText="1"/>
    </xf>
    <xf numFmtId="166" fontId="0" fillId="0" borderId="0" pivotButton="0" quotePrefix="0" xfId="0"/>
    <xf numFmtId="166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167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164" fontId="0" fillId="4" borderId="0" pivotButton="0" quotePrefix="0" xfId="0"/>
    <xf numFmtId="167" fontId="0" fillId="4" borderId="0" pivotButton="0" quotePrefix="0" xfId="0"/>
    <xf numFmtId="2" fontId="0" fillId="4" borderId="0" pivotButton="0" quotePrefix="0" xfId="0"/>
    <xf numFmtId="168" fontId="0" fillId="0" borderId="0" pivotButton="0" quotePrefix="0" xfId="0"/>
    <xf numFmtId="0" fontId="1" fillId="5" borderId="0" pivotButton="0" quotePrefix="0" xfId="0"/>
    <xf numFmtId="0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bgColor rgb="00C6EFCE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D9D9D9"/>
        </patternFill>
      </fill>
    </dxf>
    <dxf>
      <fill>
        <patternFill patternType="solid"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58" customWidth="1" min="3" max="3"/>
  </cols>
  <sheetData>
    <row r="1">
      <c r="A1" t="inlineStr">
        <is>
          <t>Campo</t>
        </is>
      </c>
      <c r="B1" t="inlineStr">
        <is>
          <t>Valor</t>
        </is>
      </c>
      <c r="C1" t="inlineStr">
        <is>
          <t>Notas</t>
        </is>
      </c>
    </row>
    <row r="2">
      <c r="A2" s="1" t="inlineStr">
        <is>
          <t>Fecha_experimento</t>
        </is>
      </c>
      <c r="B2" s="2" t="n">
        <v>46273</v>
      </c>
      <c r="C2" s="3" t="inlineStr">
        <is>
          <t>Inicio (martes). Fin: lunes 2026-09-14.</t>
        </is>
      </c>
    </row>
    <row r="3">
      <c r="A3" s="1" t="inlineStr">
        <is>
          <t>Mosto</t>
        </is>
      </c>
      <c r="B3" t="inlineStr"/>
      <c r="C3" s="3" t="inlineStr">
        <is>
          <t>Describir mosto usado (mosto natural).</t>
        </is>
      </c>
    </row>
    <row r="4">
      <c r="A4" s="1" t="inlineStr">
        <is>
          <t>Variedad</t>
        </is>
      </c>
      <c r="B4" t="inlineStr">
        <is>
          <t>Sauvignon Blanc</t>
        </is>
      </c>
      <c r="C4" s="3" t="inlineStr"/>
    </row>
    <row r="5">
      <c r="A5" s="1" t="inlineStr">
        <is>
          <t>Lote_mosto</t>
        </is>
      </c>
      <c r="B5" t="inlineStr"/>
      <c r="C5" s="3" t="inlineStr">
        <is>
          <t>Sin identificador documental: NO inventar.</t>
        </is>
      </c>
    </row>
    <row r="6">
      <c r="A6" s="1" t="inlineStr">
        <is>
          <t>Cepa</t>
        </is>
      </c>
      <c r="B6" t="inlineStr">
        <is>
          <t>Saccharomyces cerevisiae</t>
        </is>
      </c>
      <c r="C6" s="3" t="inlineStr"/>
    </row>
    <row r="7">
      <c r="A7" s="1" t="inlineStr">
        <is>
          <t>Volumen_F_A_L</t>
        </is>
      </c>
      <c r="B7" t="inlineStr"/>
      <c r="C7" s="3" t="inlineStr">
        <is>
          <t>Control SIN nutrición.</t>
        </is>
      </c>
    </row>
    <row r="8">
      <c r="A8" s="1" t="inlineStr">
        <is>
          <t>Volumen_F_B_L</t>
        </is>
      </c>
      <c r="B8" t="inlineStr"/>
      <c r="C8" s="3" t="inlineStr">
        <is>
          <t>Fermentación CON nutrición.</t>
        </is>
      </c>
    </row>
    <row r="9">
      <c r="A9" s="1" t="inlineStr">
        <is>
          <t>SP_F_A_C</t>
        </is>
      </c>
      <c r="B9" t="n">
        <v>20</v>
      </c>
      <c r="C9" s="3" t="inlineStr">
        <is>
          <t>Setpoint temperatura °C.</t>
        </is>
      </c>
    </row>
    <row r="10">
      <c r="A10" s="1" t="inlineStr">
        <is>
          <t>SP_F_B_C</t>
        </is>
      </c>
      <c r="B10" t="n">
        <v>20</v>
      </c>
      <c r="C10" s="3" t="inlineStr">
        <is>
          <t>Setpoint temperatura °C.</t>
        </is>
      </c>
    </row>
    <row r="11">
      <c r="A11" s="1" t="inlineStr">
        <is>
          <t>FechaHora_inicio_inoc_FA</t>
        </is>
      </c>
      <c r="B11" t="inlineStr"/>
      <c r="C11" s="3" t="inlineStr">
        <is>
          <t>Programado 2026-09-08 09:45.</t>
        </is>
      </c>
    </row>
    <row r="12">
      <c r="A12" s="1" t="inlineStr">
        <is>
          <t>FechaHora_fin_inoc_FA</t>
        </is>
      </c>
      <c r="B12" t="inlineStr"/>
      <c r="C12" s="3" t="inlineStr">
        <is>
          <t>Programado 2026-09-08 10:00.</t>
        </is>
      </c>
    </row>
    <row r="13">
      <c r="A13" s="1" t="inlineStr">
        <is>
          <t>FechaHora_inicio_inoc_FB</t>
        </is>
      </c>
      <c r="B13" t="inlineStr"/>
      <c r="C13" s="3" t="inlineStr">
        <is>
          <t>Programado 2026-09-08 09:45.</t>
        </is>
      </c>
    </row>
    <row r="14">
      <c r="A14" s="1" t="inlineStr">
        <is>
          <t>FechaHora_fin_inoc_FB</t>
        </is>
      </c>
      <c r="B14" t="inlineStr"/>
      <c r="C14" s="3" t="inlineStr">
        <is>
          <t>Programado 2026-09-08 10:00.</t>
        </is>
      </c>
    </row>
    <row r="15">
      <c r="A15" s="1" t="inlineStr">
        <is>
          <t>FechaHora_t0_referencia</t>
        </is>
      </c>
      <c r="B15" s="4" t="n">
        <v>46273.41666666666</v>
      </c>
      <c r="C15" s="3" t="inlineStr">
        <is>
          <t>Programado. t0 = FIN de la inoculación.</t>
        </is>
      </c>
    </row>
    <row r="16">
      <c r="A16" s="1" t="inlineStr">
        <is>
          <t>FechaHora_t0_real</t>
        </is>
      </c>
      <c r="B16" s="5" t="inlineStr"/>
      <c r="C16" s="3" t="inlineStr">
        <is>
          <t>ENTRADA MANUAL (t0 real por convención del experimento).</t>
        </is>
      </c>
    </row>
    <row r="17">
      <c r="A17" s="1" t="inlineStr">
        <is>
          <t>FechaHora_nutricion_inicio</t>
        </is>
      </c>
      <c r="B17" s="4" t="n">
        <v>46275.41319444445</v>
      </c>
      <c r="C17" s="3" t="inlineStr">
        <is>
          <t>Programado (jueves).</t>
        </is>
      </c>
    </row>
    <row r="18">
      <c r="A18" s="1" t="inlineStr">
        <is>
          <t>FechaHora_nutricion_fin</t>
        </is>
      </c>
      <c r="B18" s="4" t="n">
        <v>46275.41666666666</v>
      </c>
      <c r="C18" s="3" t="inlineStr">
        <is>
          <t>Programado. tauN = 0 en el FIN de la administración.</t>
        </is>
      </c>
    </row>
    <row r="19">
      <c r="A19" s="1" t="inlineStr">
        <is>
          <t>FechaHora_nutricion_fin_real</t>
        </is>
      </c>
      <c r="B19" s="5" t="inlineStr"/>
      <c r="C19" s="3" t="inlineStr">
        <is>
          <t>ENTRADA MANUAL.</t>
        </is>
      </c>
    </row>
    <row r="20">
      <c r="A20" s="1" t="inlineStr">
        <is>
          <t>Operador</t>
        </is>
      </c>
      <c r="B20" t="inlineStr"/>
      <c r="C20" s="3" t="inlineStr"/>
    </row>
    <row r="21">
      <c r="A21" s="1" t="inlineStr">
        <is>
          <t>Notas</t>
        </is>
      </c>
      <c r="B21" t="inlineStr"/>
      <c r="C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  <col width="34" customWidth="1" min="11" max="11"/>
    <col width="34" customWidth="1" min="12" max="12"/>
    <col width="5" customWidth="1" min="13" max="13"/>
    <col width="5" customWidth="1" min="14" max="14"/>
    <col width="8" customWidth="1" min="15" max="15"/>
    <col width="6" customWidth="1" min="16" max="16"/>
    <col width="8" customWidth="1" min="17" max="17"/>
    <col width="7" customWidth="1" min="18" max="18"/>
    <col width="7" customWidth="1" min="19" max="19"/>
    <col width="9" customWidth="1" min="20" max="20"/>
    <col width="10" customWidth="1" min="21" max="21"/>
    <col width="40" customWidth="1" min="22" max="22"/>
  </cols>
  <sheetData>
    <row r="1" ht="30" customHeight="1">
      <c r="A1" s="6" t="inlineStr">
        <is>
          <t>Estado</t>
        </is>
      </c>
      <c r="B1" s="6" t="inlineStr">
        <is>
          <t>Fecha</t>
        </is>
      </c>
      <c r="C1" s="6" t="inlineStr">
        <is>
          <t>Hora_programada</t>
        </is>
      </c>
      <c r="D1" s="6" t="inlineStr">
        <is>
          <t>Hora_real</t>
        </is>
      </c>
      <c r="E1" s="6" t="inlineStr">
        <is>
          <t>t_desde_t0_programado_h</t>
        </is>
      </c>
      <c r="F1" s="6" t="inlineStr">
        <is>
          <t>t_desde_t0_real_h</t>
        </is>
      </c>
      <c r="G1" s="6" t="inlineStr">
        <is>
          <t>tauN_programado_h</t>
        </is>
      </c>
      <c r="H1" s="6" t="inlineStr">
        <is>
          <t>tauN_real_h</t>
        </is>
      </c>
      <c r="I1" s="6" t="inlineStr">
        <is>
          <t>Codigo_F_A</t>
        </is>
      </c>
      <c r="J1" s="6" t="inlineStr">
        <is>
          <t>Codigo_F_B</t>
        </is>
      </c>
      <c r="K1" s="6" t="inlineStr">
        <is>
          <t>Accion_F_A</t>
        </is>
      </c>
      <c r="L1" s="6" t="inlineStr">
        <is>
          <t>Accion_F_B</t>
        </is>
      </c>
      <c r="M1" s="6" t="inlineStr">
        <is>
          <t>G_F</t>
        </is>
      </c>
      <c r="N1" s="6" t="inlineStr">
        <is>
          <t>YAN</t>
        </is>
      </c>
      <c r="O1" s="6" t="inlineStr">
        <is>
          <t>Oculyze</t>
        </is>
      </c>
      <c r="P1" s="6" t="inlineStr">
        <is>
          <t>Brix</t>
        </is>
      </c>
      <c r="Q1" s="6" t="inlineStr">
        <is>
          <t>Densidad</t>
        </is>
      </c>
      <c r="R1" s="6" t="inlineStr">
        <is>
          <t>Etanol</t>
        </is>
      </c>
      <c r="S1" s="6" t="inlineStr">
        <is>
          <t>Glicerol</t>
        </is>
      </c>
      <c r="T1" s="6" t="inlineStr">
        <is>
          <t>Duracion_estimada_min</t>
        </is>
      </c>
      <c r="U1" s="6" t="inlineStr">
        <is>
          <t>Prioridad</t>
        </is>
      </c>
      <c r="V1" s="6" t="inlineStr">
        <is>
          <t>Observaciones</t>
        </is>
      </c>
    </row>
    <row r="2">
      <c r="A2" t="inlineStr">
        <is>
          <t>Pendiente</t>
        </is>
      </c>
      <c r="B2" s="2" t="n">
        <v>46273</v>
      </c>
      <c r="C2" s="7" t="n">
        <v>0.3402777777777778</v>
      </c>
      <c r="D2" s="7" t="n"/>
      <c r="E2" s="8" t="n">
        <v>-1.83</v>
      </c>
      <c r="F2" s="8">
        <f>IF(OR($D2="",T0_REAL=""),"",($B2+$D2-T0_REAL)*24)</f>
        <v/>
      </c>
      <c r="G2" t="inlineStr"/>
      <c r="H2" s="8">
        <f>IF(OR($D2="",NUT_FIN_REAL=""),"",($B2+$D2-NUT_FIN_REAL)*24)</f>
        <v/>
      </c>
      <c r="K2" s="9" t="inlineStr">
        <is>
          <t>Preparación previa (Y15/Oculyze/material/rotulado)</t>
        </is>
      </c>
      <c r="L2" s="9" t="inlineStr">
        <is>
          <t>Preparación previa (Y15/Oculyze/material/rotulado)</t>
        </is>
      </c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t="n">
        <v>30</v>
      </c>
      <c r="U2" t="inlineStr">
        <is>
          <t>MEDIA</t>
        </is>
      </c>
      <c r="V2" s="9" t="inlineStr"/>
    </row>
    <row r="3">
      <c r="A3" t="inlineStr">
        <is>
          <t>Pendiente</t>
        </is>
      </c>
      <c r="B3" s="2" t="n">
        <v>46273</v>
      </c>
      <c r="C3" s="7" t="n">
        <v>0.3819444444444444</v>
      </c>
      <c r="D3" s="7" t="n"/>
      <c r="E3" s="8" t="n">
        <v>-0.83</v>
      </c>
      <c r="F3" s="8">
        <f>IF(OR($D3="",T0_REAL=""),"",($B3+$D3-T0_REAL)*24)</f>
        <v/>
      </c>
      <c r="G3" t="inlineStr"/>
      <c r="H3" s="8">
        <f>IF(OR($D3="",NUT_FIN_REAL=""),"",($B3+$D3-NUT_FIN_REAL)*24)</f>
        <v/>
      </c>
      <c r="K3" s="9" t="inlineStr">
        <is>
          <t>Toma de muestra PI del mosto (pre-inóculo)</t>
        </is>
      </c>
      <c r="L3" s="9" t="inlineStr">
        <is>
          <t>Toma de muestra PI del mosto (pre-inóculo)</t>
        </is>
      </c>
      <c r="M3" s="10" t="inlineStr">
        <is>
          <t>X</t>
        </is>
      </c>
      <c r="N3" s="10" t="inlineStr">
        <is>
          <t>X</t>
        </is>
      </c>
      <c r="O3" s="10" t="inlineStr"/>
      <c r="P3" s="10" t="inlineStr">
        <is>
          <t>X</t>
        </is>
      </c>
      <c r="Q3" s="10" t="inlineStr">
        <is>
          <t>X</t>
        </is>
      </c>
      <c r="R3" s="10" t="inlineStr"/>
      <c r="S3" s="10" t="inlineStr">
        <is>
          <t>X</t>
        </is>
      </c>
      <c r="T3" t="n">
        <v>15</v>
      </c>
      <c r="U3" t="inlineStr">
        <is>
          <t>CRÍTICA</t>
        </is>
      </c>
      <c r="V3" s="9" t="inlineStr">
        <is>
          <t>CI del modelo: G/F/YAN/glicerol. Oculyze NO requerido en PI.</t>
        </is>
      </c>
    </row>
    <row r="4">
      <c r="A4" t="inlineStr">
        <is>
          <t>Pendiente</t>
        </is>
      </c>
      <c r="B4" s="2" t="n">
        <v>46273</v>
      </c>
      <c r="C4" s="7" t="n">
        <v>0.40625</v>
      </c>
      <c r="D4" s="7" t="n"/>
      <c r="E4" s="8" t="n">
        <v>-0.25</v>
      </c>
      <c r="F4" s="8">
        <f>IF(OR($D4="",T0_REAL=""),"",($B4+$D4-T0_REAL)*24)</f>
        <v/>
      </c>
      <c r="G4" t="inlineStr"/>
      <c r="H4" s="8">
        <f>IF(OR($D4="",NUT_FIN_REAL=""),"",($B4+$D4-NUT_FIN_REAL)*24)</f>
        <v/>
      </c>
      <c r="K4" s="9" t="inlineStr">
        <is>
          <t>Inicio inoculación F-A</t>
        </is>
      </c>
      <c r="L4" s="9" t="inlineStr">
        <is>
          <t>Inicio inoculación F-B</t>
        </is>
      </c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t="n">
        <v>15</v>
      </c>
      <c r="U4" t="inlineStr">
        <is>
          <t>CRÍTICA</t>
        </is>
      </c>
      <c r="V4" s="9" t="inlineStr">
        <is>
          <t>Registrar hora real en METADATA.</t>
        </is>
      </c>
    </row>
    <row r="5">
      <c r="A5" t="inlineStr">
        <is>
          <t>Pendiente</t>
        </is>
      </c>
      <c r="B5" s="2" t="n">
        <v>46273</v>
      </c>
      <c r="C5" s="7" t="n">
        <v>0.4166666666666667</v>
      </c>
      <c r="D5" s="7" t="n"/>
      <c r="E5" s="8" t="n">
        <v>0</v>
      </c>
      <c r="F5" s="8">
        <f>IF(OR($D5="",T0_REAL=""),"",($B5+$D5-T0_REAL)*24)</f>
        <v/>
      </c>
      <c r="G5" t="inlineStr"/>
      <c r="H5" s="8">
        <f>IF(OR($D5="",NUT_FIN_REAL=""),"",($B5+$D5-NUT_FIN_REAL)*24)</f>
        <v/>
      </c>
      <c r="K5" s="9" t="inlineStr">
        <is>
          <t>Fin inoculación F-A</t>
        </is>
      </c>
      <c r="L5" s="9" t="inlineStr">
        <is>
          <t>Fin inoculación F-B</t>
        </is>
      </c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t="n">
        <v>15</v>
      </c>
      <c r="U5" t="inlineStr">
        <is>
          <t>CRÍTICA</t>
        </is>
      </c>
      <c r="V5" s="9" t="inlineStr">
        <is>
          <t>t0 = fin real de inoculación. Registrar en METADATA (FechaHora_t0_real).</t>
        </is>
      </c>
    </row>
    <row r="6">
      <c r="A6" t="inlineStr">
        <is>
          <t>Pendiente</t>
        </is>
      </c>
      <c r="B6" s="2" t="n">
        <v>46273</v>
      </c>
      <c r="C6" s="7" t="n">
        <v>0.4201388888888889</v>
      </c>
      <c r="D6" s="7" t="n"/>
      <c r="E6" s="8" t="n">
        <v>0.08</v>
      </c>
      <c r="F6" s="8">
        <f>IF(OR($D6="",T0_REAL=""),"",($B6+$D6-T0_REAL)*24)</f>
        <v/>
      </c>
      <c r="G6" t="inlineStr"/>
      <c r="H6" s="8">
        <f>IF(OR($D6="",NUT_FIN_REAL=""),"",($B6+$D6-NUT_FIN_REAL)*24)</f>
        <v/>
      </c>
      <c r="K6" s="9" t="inlineStr">
        <is>
          <t>Muestra post-inoculación (t0 + 5 min)</t>
        </is>
      </c>
      <c r="L6" s="9" t="inlineStr">
        <is>
          <t>Muestra post-inoculación (t0 + 5 min)</t>
        </is>
      </c>
      <c r="M6" s="10" t="inlineStr">
        <is>
          <t>X</t>
        </is>
      </c>
      <c r="N6" s="10" t="inlineStr">
        <is>
          <t>X</t>
        </is>
      </c>
      <c r="O6" s="10" t="inlineStr">
        <is>
          <t>X</t>
        </is>
      </c>
      <c r="P6" s="10" t="inlineStr">
        <is>
          <t>X</t>
        </is>
      </c>
      <c r="Q6" s="10" t="inlineStr">
        <is>
          <t>X</t>
        </is>
      </c>
      <c r="R6" s="10" t="inlineStr"/>
      <c r="S6" s="10" t="inlineStr">
        <is>
          <t>X</t>
        </is>
      </c>
      <c r="T6" t="n">
        <v>10</v>
      </c>
      <c r="U6" t="inlineStr">
        <is>
          <t>CRÍTICA</t>
        </is>
      </c>
      <c r="V6" s="9" t="inlineStr">
        <is>
          <t>Sesión Oculyze prioritaria t0.</t>
        </is>
      </c>
    </row>
    <row r="7">
      <c r="A7" t="inlineStr">
        <is>
          <t>Pendiente</t>
        </is>
      </c>
      <c r="B7" s="2" t="n">
        <v>46273</v>
      </c>
      <c r="C7" s="7" t="n">
        <v>0.6875</v>
      </c>
      <c r="D7" s="7" t="n"/>
      <c r="E7" s="8" t="n">
        <v>6.5</v>
      </c>
      <c r="F7" s="8">
        <f>IF(OR($D7="",T0_REAL=""),"",($B7+$D7-T0_REAL)*24)</f>
        <v/>
      </c>
      <c r="G7" t="inlineStr"/>
      <c r="H7" s="8">
        <f>IF(OR($D7="",NUT_FIN_REAL=""),"",($B7+$D7-NUT_FIN_REAL)*24)</f>
        <v/>
      </c>
      <c r="K7" s="9" t="inlineStr">
        <is>
          <t>Muestra lag (~6.5 h)</t>
        </is>
      </c>
      <c r="L7" s="9" t="inlineStr">
        <is>
          <t>Muestra lag (~6.5 h)</t>
        </is>
      </c>
      <c r="M7" s="10" t="inlineStr">
        <is>
          <t>X</t>
        </is>
      </c>
      <c r="N7" s="10" t="inlineStr">
        <is>
          <t>X</t>
        </is>
      </c>
      <c r="O7" s="10" t="inlineStr">
        <is>
          <t>X</t>
        </is>
      </c>
      <c r="P7" s="10" t="inlineStr">
        <is>
          <t>X</t>
        </is>
      </c>
      <c r="Q7" s="10" t="inlineStr">
        <is>
          <t>X</t>
        </is>
      </c>
      <c r="R7" s="10" t="inlineStr"/>
      <c r="S7" s="10" t="inlineStr">
        <is>
          <t>X</t>
        </is>
      </c>
      <c r="T7" t="n">
        <v>10</v>
      </c>
      <c r="U7" t="inlineStr">
        <is>
          <t>ALTA</t>
        </is>
      </c>
      <c r="V7" s="9" t="inlineStr">
        <is>
          <t>Sesión Oculyze prioritaria 6.5 h.</t>
        </is>
      </c>
    </row>
    <row r="8">
      <c r="A8" t="inlineStr">
        <is>
          <t>Pendiente</t>
        </is>
      </c>
      <c r="B8" s="2" t="n">
        <v>46274</v>
      </c>
      <c r="C8" s="7" t="n">
        <v>0.4166666666666667</v>
      </c>
      <c r="D8" s="7" t="n"/>
      <c r="E8" s="8" t="n">
        <v>24</v>
      </c>
      <c r="F8" s="8">
        <f>IF(OR($D8="",T0_REAL=""),"",($B8+$D8-T0_REAL)*24)</f>
        <v/>
      </c>
      <c r="G8" t="inlineStr"/>
      <c r="H8" s="8">
        <f>IF(OR($D8="",NUT_FIN_REAL=""),"",($B8+$D8-NUT_FIN_REAL)*24)</f>
        <v/>
      </c>
      <c r="K8" s="9" t="inlineStr">
        <is>
          <t>Muestra 24 h</t>
        </is>
      </c>
      <c r="L8" s="9" t="inlineStr">
        <is>
          <t>Muestra 24 h</t>
        </is>
      </c>
      <c r="M8" s="10" t="inlineStr">
        <is>
          <t>X</t>
        </is>
      </c>
      <c r="N8" s="10" t="inlineStr">
        <is>
          <t>X</t>
        </is>
      </c>
      <c r="O8" s="10" t="inlineStr">
        <is>
          <t>X</t>
        </is>
      </c>
      <c r="P8" s="10" t="inlineStr">
        <is>
          <t>X</t>
        </is>
      </c>
      <c r="Q8" s="10" t="inlineStr">
        <is>
          <t>X</t>
        </is>
      </c>
      <c r="R8" s="10" t="inlineStr"/>
      <c r="S8" s="10" t="inlineStr">
        <is>
          <t>X</t>
        </is>
      </c>
      <c r="T8" t="n">
        <v>10</v>
      </c>
      <c r="U8" t="inlineStr">
        <is>
          <t>ALTA</t>
        </is>
      </c>
      <c r="V8" s="9" t="inlineStr">
        <is>
          <t>Sesión Oculyze prioritaria 24 h.</t>
        </is>
      </c>
    </row>
    <row r="9">
      <c r="A9" t="inlineStr">
        <is>
          <t>Pendiente</t>
        </is>
      </c>
      <c r="B9" s="2" t="n">
        <v>46274</v>
      </c>
      <c r="C9" s="7" t="n">
        <v>0.6944444444444444</v>
      </c>
      <c r="D9" s="7" t="n"/>
      <c r="E9" s="8" t="n">
        <v>30.67</v>
      </c>
      <c r="F9" s="8">
        <f>IF(OR($D9="",T0_REAL=""),"",($B9+$D9-T0_REAL)*24)</f>
        <v/>
      </c>
      <c r="G9" t="inlineStr"/>
      <c r="H9" s="8">
        <f>IF(OR($D9="",NUT_FIN_REAL=""),"",($B9+$D9-NUT_FIN_REAL)*24)</f>
        <v/>
      </c>
      <c r="K9" s="9" t="inlineStr">
        <is>
          <t>Muestra crecimiento/ascenso (~30.67 h)</t>
        </is>
      </c>
      <c r="L9" s="9" t="inlineStr">
        <is>
          <t>Muestra crecimiento/ascenso (~30.67 h)</t>
        </is>
      </c>
      <c r="M9" s="10" t="inlineStr">
        <is>
          <t>X</t>
        </is>
      </c>
      <c r="N9" s="10" t="inlineStr">
        <is>
          <t>X</t>
        </is>
      </c>
      <c r="O9" s="10" t="inlineStr">
        <is>
          <t>X</t>
        </is>
      </c>
      <c r="P9" s="10" t="inlineStr">
        <is>
          <t>X</t>
        </is>
      </c>
      <c r="Q9" s="10" t="inlineStr">
        <is>
          <t>X</t>
        </is>
      </c>
      <c r="R9" s="10" t="inlineStr"/>
      <c r="S9" s="10" t="inlineStr">
        <is>
          <t>X</t>
        </is>
      </c>
      <c r="T9" t="n">
        <v>10</v>
      </c>
      <c r="U9" t="inlineStr">
        <is>
          <t>ALTA</t>
        </is>
      </c>
      <c r="V9" s="9" t="inlineStr">
        <is>
          <t>Sesión Oculyze prioritaria 30.67 h.</t>
        </is>
      </c>
    </row>
    <row r="10">
      <c r="A10" t="inlineStr">
        <is>
          <t>Pendiente</t>
        </is>
      </c>
      <c r="B10" s="2" t="n">
        <v>46275</v>
      </c>
      <c r="C10" s="7" t="n">
        <v>0.3402777777777778</v>
      </c>
      <c r="D10" s="7" t="n"/>
      <c r="E10" s="8" t="n">
        <v>46.17</v>
      </c>
      <c r="F10" s="8">
        <f>IF(OR($D10="",T0_REAL=""),"",($B10+$D10-T0_REAL)*24)</f>
        <v/>
      </c>
      <c r="G10" t="inlineStr"/>
      <c r="H10" s="8">
        <f>IF(OR($D10="",NUT_FIN_REAL=""),"",($B10+$D10-NUT_FIN_REAL)*24)</f>
        <v/>
      </c>
      <c r="K10" s="9" t="inlineStr">
        <is>
          <t>Preparación diaria + pesaje nutrición F-B</t>
        </is>
      </c>
      <c r="L10" s="9" t="inlineStr">
        <is>
          <t>Preparación diaria</t>
        </is>
      </c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t="n">
        <v>30</v>
      </c>
      <c r="U10" t="inlineStr">
        <is>
          <t>MEDIA</t>
        </is>
      </c>
      <c r="V10" s="9" t="inlineStr">
        <is>
          <t>Pesajes SFX/FDA y lotes en hoja NUTRICION.</t>
        </is>
      </c>
    </row>
    <row r="11">
      <c r="A11" t="inlineStr">
        <is>
          <t>Pendiente</t>
        </is>
      </c>
      <c r="B11" s="2" t="n">
        <v>46275</v>
      </c>
      <c r="C11" s="7" t="n">
        <v>0.3854166666666667</v>
      </c>
      <c r="D11" s="7" t="n"/>
      <c r="E11" s="8" t="n">
        <v>47.25</v>
      </c>
      <c r="F11" s="8">
        <f>IF(OR($D11="",T0_REAL=""),"",($B11+$D11-T0_REAL)*24)</f>
        <v/>
      </c>
      <c r="G11" s="8" t="n">
        <v>-0.67</v>
      </c>
      <c r="H11" s="8">
        <f>IF(OR($D11="",NUT_FIN_REAL=""),"",($B11+$D11-NUT_FIN_REAL)*24)</f>
        <v/>
      </c>
      <c r="K11" s="9" t="inlineStr">
        <is>
          <t>Muestra pre-pulso (control)</t>
        </is>
      </c>
      <c r="L11" s="9" t="inlineStr">
        <is>
          <t>Muestra pre-pulso (pre-nutrición)</t>
        </is>
      </c>
      <c r="M11" s="10" t="inlineStr">
        <is>
          <t>X</t>
        </is>
      </c>
      <c r="N11" s="10" t="inlineStr">
        <is>
          <t>X</t>
        </is>
      </c>
      <c r="O11" s="10" t="inlineStr">
        <is>
          <t>X</t>
        </is>
      </c>
      <c r="P11" s="10" t="inlineStr">
        <is>
          <t>X</t>
        </is>
      </c>
      <c r="Q11" s="10" t="inlineStr">
        <is>
          <t>X</t>
        </is>
      </c>
      <c r="R11" s="10" t="inlineStr"/>
      <c r="S11" s="10" t="inlineStr">
        <is>
          <t>X</t>
        </is>
      </c>
      <c r="T11" t="n">
        <v>10</v>
      </c>
      <c r="U11" t="inlineStr">
        <is>
          <t>CRÍTICA</t>
        </is>
      </c>
      <c r="V11" s="9" t="inlineStr">
        <is>
          <t>Sesión Oculyze prioritaria pre-pulso. Registrar densidad real.</t>
        </is>
      </c>
    </row>
    <row r="12">
      <c r="A12" t="inlineStr">
        <is>
          <t>Pendiente</t>
        </is>
      </c>
      <c r="B12" s="2" t="n">
        <v>46275</v>
      </c>
      <c r="C12" s="7" t="n">
        <v>0.4131944444444444</v>
      </c>
      <c r="D12" s="7" t="n"/>
      <c r="E12" s="8" t="n">
        <v>47.92</v>
      </c>
      <c r="F12" s="8">
        <f>IF(OR($D12="",T0_REAL=""),"",($B12+$D12-T0_REAL)*24)</f>
        <v/>
      </c>
      <c r="G12" s="8" t="n">
        <v>-0.08</v>
      </c>
      <c r="H12" s="8">
        <f>IF(OR($D12="",NUT_FIN_REAL=""),"",($B12+$D12-NUT_FIN_REAL)*24)</f>
        <v/>
      </c>
      <c r="K12" s="9" t="inlineStr">
        <is>
          <t>Sin acción (control sin nutrición)</t>
        </is>
      </c>
      <c r="L12" s="9" t="inlineStr">
        <is>
          <t>Inicio nutrición F-B</t>
        </is>
      </c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t="n">
        <v>5</v>
      </c>
      <c r="U12" t="inlineStr">
        <is>
          <t>CRÍTICA</t>
        </is>
      </c>
      <c r="V12" s="9" t="inlineStr">
        <is>
          <t>Registrar hora real de inicio.</t>
        </is>
      </c>
    </row>
    <row r="13">
      <c r="A13" t="inlineStr">
        <is>
          <t>Pendiente</t>
        </is>
      </c>
      <c r="B13" s="2" t="n">
        <v>46275</v>
      </c>
      <c r="C13" s="7" t="n">
        <v>0.4166666666666667</v>
      </c>
      <c r="D13" s="7" t="n"/>
      <c r="E13" s="8" t="n">
        <v>48</v>
      </c>
      <c r="F13" s="8">
        <f>IF(OR($D13="",T0_REAL=""),"",($B13+$D13-T0_REAL)*24)</f>
        <v/>
      </c>
      <c r="G13" s="8" t="n">
        <v>0</v>
      </c>
      <c r="H13" s="8">
        <f>IF(OR($D13="",NUT_FIN_REAL=""),"",($B13+$D13-NUT_FIN_REAL)*24)</f>
        <v/>
      </c>
      <c r="K13" s="9" t="inlineStr">
        <is>
          <t>Sin acción (control sin nutrición)</t>
        </is>
      </c>
      <c r="L13" s="9" t="inlineStr">
        <is>
          <t>Fin nutrición F-B (tauN = 0)</t>
        </is>
      </c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t="n">
        <v>5</v>
      </c>
      <c r="U13" t="inlineStr">
        <is>
          <t>CRÍTICA</t>
        </is>
      </c>
      <c r="V13" s="9" t="inlineStr">
        <is>
          <t>Registrar hora real de fin en METADATA (FechaHora_nutricion_fin_real).</t>
        </is>
      </c>
    </row>
    <row r="14">
      <c r="A14" t="inlineStr">
        <is>
          <t>Pendiente</t>
        </is>
      </c>
      <c r="B14" s="2" t="n">
        <v>46275</v>
      </c>
      <c r="C14" s="7" t="n">
        <v>0.5</v>
      </c>
      <c r="D14" s="7" t="n"/>
      <c r="E14" s="8" t="n">
        <v>50</v>
      </c>
      <c r="F14" s="8">
        <f>IF(OR($D14="",T0_REAL=""),"",($B14+$D14-T0_REAL)*24)</f>
        <v/>
      </c>
      <c r="G14" s="8" t="n">
        <v>2</v>
      </c>
      <c r="H14" s="8">
        <f>IF(OR($D14="",NUT_FIN_REAL=""),"",($B14+$D14-NUT_FIN_REAL)*24)</f>
        <v/>
      </c>
      <c r="K14" s="9" t="inlineStr">
        <is>
          <t>Muestra +2 h post-nutrición</t>
        </is>
      </c>
      <c r="L14" s="9" t="inlineStr">
        <is>
          <t>Muestra +2 h post-nutrición</t>
        </is>
      </c>
      <c r="M14" s="10" t="inlineStr">
        <is>
          <t>X</t>
        </is>
      </c>
      <c r="N14" s="10" t="inlineStr">
        <is>
          <t>X</t>
        </is>
      </c>
      <c r="O14" s="10" t="inlineStr"/>
      <c r="P14" s="10" t="inlineStr">
        <is>
          <t>X</t>
        </is>
      </c>
      <c r="Q14" s="10" t="inlineStr">
        <is>
          <t>X</t>
        </is>
      </c>
      <c r="R14" s="10" t="inlineStr"/>
      <c r="S14" s="10" t="inlineStr">
        <is>
          <t>X</t>
        </is>
      </c>
      <c r="T14" t="n">
        <v>10</v>
      </c>
      <c r="U14" t="inlineStr">
        <is>
          <t>CRÍTICA</t>
        </is>
      </c>
      <c r="V14" s="9" t="inlineStr"/>
    </row>
    <row r="15">
      <c r="A15" t="inlineStr">
        <is>
          <t>Pendiente</t>
        </is>
      </c>
      <c r="B15" s="2" t="n">
        <v>46275</v>
      </c>
      <c r="C15" s="7" t="n">
        <v>0.5833333333333334</v>
      </c>
      <c r="D15" s="7" t="n"/>
      <c r="E15" s="8" t="n">
        <v>52</v>
      </c>
      <c r="F15" s="8">
        <f>IF(OR($D15="",T0_REAL=""),"",($B15+$D15-T0_REAL)*24)</f>
        <v/>
      </c>
      <c r="G15" s="8" t="n">
        <v>4</v>
      </c>
      <c r="H15" s="8">
        <f>IF(OR($D15="",NUT_FIN_REAL=""),"",($B15+$D15-NUT_FIN_REAL)*24)</f>
        <v/>
      </c>
      <c r="K15" s="9" t="inlineStr">
        <is>
          <t>Muestra +4 h post-nutrición</t>
        </is>
      </c>
      <c r="L15" s="9" t="inlineStr">
        <is>
          <t>Muestra +4 h post-nutrición</t>
        </is>
      </c>
      <c r="M15" s="10" t="inlineStr">
        <is>
          <t>X</t>
        </is>
      </c>
      <c r="N15" s="10" t="inlineStr">
        <is>
          <t>X</t>
        </is>
      </c>
      <c r="O15" s="10" t="inlineStr">
        <is>
          <t>X</t>
        </is>
      </c>
      <c r="P15" s="10" t="inlineStr">
        <is>
          <t>X</t>
        </is>
      </c>
      <c r="Q15" s="10" t="inlineStr">
        <is>
          <t>X</t>
        </is>
      </c>
      <c r="R15" s="10" t="inlineStr"/>
      <c r="S15" s="10" t="inlineStr">
        <is>
          <t>X</t>
        </is>
      </c>
      <c r="T15" t="n">
        <v>10</v>
      </c>
      <c r="U15" t="inlineStr">
        <is>
          <t>CRÍTICA</t>
        </is>
      </c>
      <c r="V15" s="9" t="inlineStr">
        <is>
          <t>Sesión Oculyze prioritaria +4 h.</t>
        </is>
      </c>
    </row>
    <row r="16">
      <c r="A16" t="inlineStr">
        <is>
          <t>Pendiente</t>
        </is>
      </c>
      <c r="B16" s="2" t="n">
        <v>46275</v>
      </c>
      <c r="C16" s="7" t="n">
        <v>0.6666666666666666</v>
      </c>
      <c r="D16" s="7" t="n"/>
      <c r="E16" s="8" t="n">
        <v>54</v>
      </c>
      <c r="F16" s="8">
        <f>IF(OR($D16="",T0_REAL=""),"",($B16+$D16-T0_REAL)*24)</f>
        <v/>
      </c>
      <c r="G16" s="8" t="n">
        <v>6</v>
      </c>
      <c r="H16" s="8">
        <f>IF(OR($D16="",NUT_FIN_REAL=""),"",($B16+$D16-NUT_FIN_REAL)*24)</f>
        <v/>
      </c>
      <c r="K16" s="9" t="inlineStr">
        <is>
          <t>Muestra +6 h post-nutrición</t>
        </is>
      </c>
      <c r="L16" s="9" t="inlineStr">
        <is>
          <t>Muestra +6 h post-nutrición</t>
        </is>
      </c>
      <c r="M16" s="10" t="inlineStr">
        <is>
          <t>X</t>
        </is>
      </c>
      <c r="N16" s="10" t="inlineStr">
        <is>
          <t>X</t>
        </is>
      </c>
      <c r="O16" s="10" t="inlineStr"/>
      <c r="P16" s="10" t="inlineStr">
        <is>
          <t>X</t>
        </is>
      </c>
      <c r="Q16" s="10" t="inlineStr">
        <is>
          <t>X</t>
        </is>
      </c>
      <c r="R16" s="10" t="inlineStr"/>
      <c r="S16" s="10" t="inlineStr">
        <is>
          <t>X</t>
        </is>
      </c>
      <c r="T16" t="n">
        <v>10</v>
      </c>
      <c r="U16" t="inlineStr">
        <is>
          <t>CRÍTICA</t>
        </is>
      </c>
      <c r="V16" s="9" t="inlineStr">
        <is>
          <t>Etanol (Alcolyzer) estratégico: ver hoja ALCOLYZER.</t>
        </is>
      </c>
    </row>
    <row r="17">
      <c r="A17" t="inlineStr">
        <is>
          <t>Pendiente</t>
        </is>
      </c>
      <c r="B17" s="2" t="n">
        <v>46276</v>
      </c>
      <c r="C17" s="7" t="n">
        <v>0.4166666666666667</v>
      </c>
      <c r="D17" s="7" t="n"/>
      <c r="E17" s="8" t="n">
        <v>72</v>
      </c>
      <c r="F17" s="8">
        <f>IF(OR($D17="",T0_REAL=""),"",($B17+$D17-T0_REAL)*24)</f>
        <v/>
      </c>
      <c r="G17" s="8" t="n">
        <v>24</v>
      </c>
      <c r="H17" s="8">
        <f>IF(OR($D17="",NUT_FIN_REAL=""),"",($B17+$D17-NUT_FIN_REAL)*24)</f>
        <v/>
      </c>
      <c r="K17" s="9" t="inlineStr">
        <is>
          <t>Muestra +24 h post-nutrición</t>
        </is>
      </c>
      <c r="L17" s="9" t="inlineStr">
        <is>
          <t>Muestra +24 h post-nutrición</t>
        </is>
      </c>
      <c r="M17" s="10" t="inlineStr">
        <is>
          <t>X</t>
        </is>
      </c>
      <c r="N17" s="10" t="inlineStr">
        <is>
          <t>X</t>
        </is>
      </c>
      <c r="O17" s="10" t="inlineStr"/>
      <c r="P17" s="10" t="inlineStr">
        <is>
          <t>X</t>
        </is>
      </c>
      <c r="Q17" s="10" t="inlineStr">
        <is>
          <t>X</t>
        </is>
      </c>
      <c r="R17" s="10" t="inlineStr"/>
      <c r="S17" s="10" t="inlineStr">
        <is>
          <t>X</t>
        </is>
      </c>
      <c r="T17" t="n">
        <v>10</v>
      </c>
      <c r="U17" t="inlineStr">
        <is>
          <t>CRÍTICA</t>
        </is>
      </c>
      <c r="V17" s="9" t="inlineStr">
        <is>
          <t>Sesión Oculyze prioritaria +24 h.</t>
        </is>
      </c>
    </row>
    <row r="18">
      <c r="A18" t="inlineStr">
        <is>
          <t>Pendiente</t>
        </is>
      </c>
      <c r="B18" s="2" t="n">
        <v>46276</v>
      </c>
      <c r="C18" s="7" t="n">
        <v>0.4791666666666667</v>
      </c>
      <c r="D18" s="7" t="n"/>
      <c r="E18" s="8" t="n">
        <v>73.5</v>
      </c>
      <c r="F18" s="8">
        <f>IF(OR($D18="",T0_REAL=""),"",($B18+$D18-T0_REAL)*24)</f>
        <v/>
      </c>
      <c r="G18" s="8" t="n">
        <v>25.5</v>
      </c>
      <c r="H18" s="8">
        <f>IF(OR($D18="",NUT_FIN_REAL=""),"",($B18+$D18-NUT_FIN_REAL)*24)</f>
        <v/>
      </c>
      <c r="K18" s="9" t="inlineStr">
        <is>
          <t>Lectura barata (Brix/densidad)</t>
        </is>
      </c>
      <c r="L18" s="9" t="inlineStr">
        <is>
          <t>Lectura barata (Brix/densidad)</t>
        </is>
      </c>
      <c r="M18" s="10" t="inlineStr"/>
      <c r="N18" s="10" t="inlineStr"/>
      <c r="O18" s="10" t="inlineStr"/>
      <c r="P18" s="10" t="inlineStr">
        <is>
          <t>X</t>
        </is>
      </c>
      <c r="Q18" s="10" t="inlineStr">
        <is>
          <t>X</t>
        </is>
      </c>
      <c r="R18" s="10" t="inlineStr"/>
      <c r="S18" s="10" t="inlineStr"/>
      <c r="T18" t="n">
        <v>5</v>
      </c>
      <c r="U18" t="inlineStr">
        <is>
          <t>MEDIA</t>
        </is>
      </c>
      <c r="V18" s="9" t="inlineStr"/>
    </row>
    <row r="19">
      <c r="A19" t="inlineStr">
        <is>
          <t>Pendiente</t>
        </is>
      </c>
      <c r="B19" s="2" t="n">
        <v>46279</v>
      </c>
      <c r="C19" s="7" t="n">
        <v>0.3402777777777778</v>
      </c>
      <c r="D19" s="7" t="n"/>
      <c r="E19" s="8" t="n">
        <v>142.17</v>
      </c>
      <c r="F19" s="8">
        <f>IF(OR($D19="",T0_REAL=""),"",($B19+$D19-T0_REAL)*24)</f>
        <v/>
      </c>
      <c r="G19" s="8" t="n">
        <v>94.17</v>
      </c>
      <c r="H19" s="8">
        <f>IF(OR($D19="",NUT_FIN_REAL=""),"",($B19+$D19-NUT_FIN_REAL)*24)</f>
        <v/>
      </c>
      <c r="K19" s="9" t="inlineStr">
        <is>
          <t>Muestra cola / cierre (~142.17 h)</t>
        </is>
      </c>
      <c r="L19" s="9" t="inlineStr">
        <is>
          <t>Muestra cola / cierre (~142.17 h)</t>
        </is>
      </c>
      <c r="M19" s="10" t="inlineStr">
        <is>
          <t>X</t>
        </is>
      </c>
      <c r="N19" s="10" t="inlineStr">
        <is>
          <t>X</t>
        </is>
      </c>
      <c r="O19" s="10" t="inlineStr">
        <is>
          <t>X</t>
        </is>
      </c>
      <c r="P19" s="10" t="inlineStr">
        <is>
          <t>X</t>
        </is>
      </c>
      <c r="Q19" s="10" t="inlineStr">
        <is>
          <t>X</t>
        </is>
      </c>
      <c r="R19" s="10" t="inlineStr">
        <is>
          <t>X</t>
        </is>
      </c>
      <c r="S19" s="10" t="inlineStr">
        <is>
          <t>X</t>
        </is>
      </c>
      <c r="T19" t="n">
        <v>20</v>
      </c>
      <c r="U19" t="inlineStr">
        <is>
          <t>ALTA</t>
        </is>
      </c>
      <c r="V19" s="9" t="inlineStr">
        <is>
          <t>Sesión Oculyze prioritaria cola.</t>
        </is>
      </c>
    </row>
    <row r="20">
      <c r="A20" t="inlineStr">
        <is>
          <t>Pendiente</t>
        </is>
      </c>
      <c r="B20" s="2" t="n">
        <v>46279</v>
      </c>
      <c r="C20" s="7" t="n">
        <v>0.6666666666666666</v>
      </c>
      <c r="D20" s="7" t="n"/>
      <c r="E20" s="8" t="n">
        <v>150</v>
      </c>
      <c r="F20" s="8">
        <f>IF(OR($D20="",T0_REAL=""),"",($B20+$D20-T0_REAL)*24)</f>
        <v/>
      </c>
      <c r="G20" s="8" t="n">
        <v>102</v>
      </c>
      <c r="H20" s="8">
        <f>IF(OR($D20="",NUT_FIN_REAL=""),"",($B20+$D20-NUT_FIN_REAL)*24)</f>
        <v/>
      </c>
      <c r="K20" s="9" t="inlineStr">
        <is>
          <t>Muestra final (~150 h)</t>
        </is>
      </c>
      <c r="L20" s="9" t="inlineStr">
        <is>
          <t>Muestra final (~150 h)</t>
        </is>
      </c>
      <c r="M20" s="10" t="inlineStr">
        <is>
          <t>X</t>
        </is>
      </c>
      <c r="N20" s="10" t="inlineStr">
        <is>
          <t>X</t>
        </is>
      </c>
      <c r="O20" s="10" t="inlineStr">
        <is>
          <t>X</t>
        </is>
      </c>
      <c r="P20" s="10" t="inlineStr">
        <is>
          <t>X</t>
        </is>
      </c>
      <c r="Q20" s="10" t="inlineStr">
        <is>
          <t>X</t>
        </is>
      </c>
      <c r="R20" s="10" t="inlineStr">
        <is>
          <t>X</t>
        </is>
      </c>
      <c r="S20" s="10" t="inlineStr">
        <is>
          <t>X</t>
        </is>
      </c>
      <c r="T20" t="n">
        <v>20</v>
      </c>
      <c r="U20" t="inlineStr">
        <is>
          <t>CRÍTICA</t>
        </is>
      </c>
      <c r="V20" s="9" t="inlineStr">
        <is>
          <t>Etanol (Alcolyzer) + cierre de campaña.</t>
        </is>
      </c>
    </row>
    <row r="22">
      <c r="A22" s="3" t="inlineStr">
        <is>
          <t>Convenciones: t0 = FIN real de la inoculación (registrar en METADATA!B16). tauN = 0 en el FIN real de la administración de nutrición F-B (METADATA!B19). Los tiempos reales se calculan solos al escribir Hora_real. Muestra post-inoculación = 10:05 (t0+5 min).</t>
        </is>
      </c>
    </row>
    <row r="23"/>
  </sheetData>
  <autoFilter ref="A1:V20"/>
  <mergeCells count="1">
    <mergeCell ref="A22:V23"/>
  </mergeCells>
  <conditionalFormatting sqref="A2:A20">
    <cfRule type="cellIs" priority="1" operator="equal" dxfId="0">
      <formula>"Completado"</formula>
    </cfRule>
    <cfRule type="cellIs" priority="2" operator="equal" dxfId="1">
      <formula>"Pendiente"</formula>
    </cfRule>
    <cfRule type="cellIs" priority="3" operator="equal" dxfId="2">
      <formula>"No factible"</formula>
    </cfRule>
  </conditionalFormatting>
  <conditionalFormatting sqref="U2:U20">
    <cfRule type="cellIs" priority="4" operator="equal" dxfId="3">
      <formula>"CRÍTICA"</formula>
    </cfRule>
  </conditionalFormatting>
  <dataValidations count="1">
    <dataValidation sqref="A2:A20" showDropDown="0" showInputMessage="0" showErrorMessage="0" allowBlank="1" type="list">
      <formula1>"Pendiente,Completado,No factible"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1" customWidth="1" min="3" max="3"/>
    <col width="7" customWidth="1" min="4" max="4"/>
    <col width="12" customWidth="1" min="5" max="5"/>
    <col width="26" customWidth="1" min="6" max="6"/>
    <col width="30" customWidth="1" min="7" max="7"/>
    <col width="44" customWidth="1" min="8" max="8"/>
    <col width="10" customWidth="1" min="9" max="9"/>
  </cols>
  <sheetData>
    <row r="1" ht="30" customHeight="1">
      <c r="A1" s="6" t="inlineStr">
        <is>
          <t>#</t>
        </is>
      </c>
      <c r="B1" s="6" t="inlineStr">
        <is>
          <t>Campaign</t>
        </is>
      </c>
      <c r="C1" s="6" t="inlineStr">
        <is>
          <t>Fecha</t>
        </is>
      </c>
      <c r="D1" s="6" t="inlineStr">
        <is>
          <t>Hora</t>
        </is>
      </c>
      <c r="E1" s="6" t="inlineStr">
        <is>
          <t>t_desde_t0_h</t>
        </is>
      </c>
      <c r="F1" s="6" t="inlineStr">
        <is>
          <t>Accion_F_A</t>
        </is>
      </c>
      <c r="G1" s="6" t="inlineStr">
        <is>
          <t>Accion_F_B</t>
        </is>
      </c>
      <c r="H1" s="6" t="inlineStr">
        <is>
          <t>Analisis_imprescindibles</t>
        </is>
      </c>
      <c r="I1" s="6" t="inlineStr">
        <is>
          <t>Prioridad</t>
        </is>
      </c>
    </row>
    <row r="2">
      <c r="A2" t="n">
        <v>1</v>
      </c>
      <c r="B2" t="inlineStr">
        <is>
          <t>PI</t>
        </is>
      </c>
      <c r="C2" s="2" t="n">
        <v>46273</v>
      </c>
      <c r="D2" s="7" t="n">
        <v>0.3819444444444444</v>
      </c>
      <c r="E2" s="8" t="n">
        <v>-0.83</v>
      </c>
      <c r="F2" t="inlineStr">
        <is>
          <t>Toma de muestra PI</t>
        </is>
      </c>
      <c r="G2" t="inlineStr">
        <is>
          <t>Toma de muestra PI</t>
        </is>
      </c>
      <c r="H2" s="9" t="inlineStr">
        <is>
          <t>G_F + YAN (condiciones iniciales del modelo)</t>
        </is>
      </c>
      <c r="I2" t="inlineStr">
        <is>
          <t>CRÍTICA</t>
        </is>
      </c>
    </row>
    <row r="3">
      <c r="A3" t="n">
        <v>2</v>
      </c>
      <c r="B3" t="inlineStr">
        <is>
          <t>t0 / biomasa inicial</t>
        </is>
      </c>
      <c r="C3" s="2" t="n">
        <v>46273</v>
      </c>
      <c r="D3" s="7" t="n">
        <v>0.4201388888888889</v>
      </c>
      <c r="E3" s="8" t="n">
        <v>0.08</v>
      </c>
      <c r="F3" t="inlineStr">
        <is>
          <t>Muestra post-inoculación</t>
        </is>
      </c>
      <c r="G3" t="inlineStr">
        <is>
          <t>Muestra post-inoculación</t>
        </is>
      </c>
      <c r="H3" s="9" t="inlineStr">
        <is>
          <t>Oculyze (X0/Xd0) + G_F + YAN</t>
        </is>
      </c>
      <c r="I3" t="inlineStr">
        <is>
          <t>CRÍTICA</t>
        </is>
      </c>
    </row>
    <row r="4">
      <c r="A4" t="n">
        <v>3</v>
      </c>
      <c r="B4" t="inlineStr">
        <is>
          <t>lag ~6.5 h</t>
        </is>
      </c>
      <c r="C4" s="2" t="n">
        <v>46273</v>
      </c>
      <c r="D4" s="7" t="n">
        <v>0.6875</v>
      </c>
      <c r="E4" s="8" t="n">
        <v>6.5</v>
      </c>
      <c r="F4" t="inlineStr">
        <is>
          <t>Muestra lag</t>
        </is>
      </c>
      <c r="G4" t="inlineStr">
        <is>
          <t>Muestra lag</t>
        </is>
      </c>
      <c r="H4" s="9" t="inlineStr">
        <is>
          <t>G_F + YAN (onset/lag)</t>
        </is>
      </c>
      <c r="I4" t="inlineStr">
        <is>
          <t>ALTA</t>
        </is>
      </c>
    </row>
    <row r="5">
      <c r="A5" t="n">
        <v>4</v>
      </c>
      <c r="B5" t="inlineStr">
        <is>
          <t>crecimiento 24 h</t>
        </is>
      </c>
      <c r="C5" s="2" t="n">
        <v>46274</v>
      </c>
      <c r="D5" s="7" t="n">
        <v>0.4166666666666667</v>
      </c>
      <c r="E5" s="8" t="n">
        <v>24</v>
      </c>
      <c r="F5" t="inlineStr">
        <is>
          <t>Muestra 24 h</t>
        </is>
      </c>
      <c r="G5" t="inlineStr">
        <is>
          <t>Muestra 24 h</t>
        </is>
      </c>
      <c r="H5" s="9" t="inlineStr">
        <is>
          <t>G_F + YAN + Oculyze</t>
        </is>
      </c>
      <c r="I5" t="inlineStr">
        <is>
          <t>ALTA</t>
        </is>
      </c>
    </row>
    <row r="6">
      <c r="A6" t="n">
        <v>5</v>
      </c>
      <c r="B6" t="inlineStr">
        <is>
          <t>pre-pulso</t>
        </is>
      </c>
      <c r="C6" s="2" t="n">
        <v>46275</v>
      </c>
      <c r="D6" s="7" t="n">
        <v>0.3854166666666667</v>
      </c>
      <c r="E6" s="8" t="n">
        <v>47.25</v>
      </c>
      <c r="F6" t="inlineStr">
        <is>
          <t>Muestra pre-pulso</t>
        </is>
      </c>
      <c r="G6" t="inlineStr">
        <is>
          <t>Muestra pre-pulso</t>
        </is>
      </c>
      <c r="H6" s="9" t="inlineStr">
        <is>
          <t>G_F + YAN + Oculyze + densidad</t>
        </is>
      </c>
      <c r="I6" t="inlineStr">
        <is>
          <t>CRÍTICA</t>
        </is>
      </c>
    </row>
    <row r="7">
      <c r="A7" t="n">
        <v>6</v>
      </c>
      <c r="B7" t="inlineStr">
        <is>
          <t>+2 h</t>
        </is>
      </c>
      <c r="C7" s="2" t="n">
        <v>46275</v>
      </c>
      <c r="D7" s="7" t="n">
        <v>0.5</v>
      </c>
      <c r="E7" s="8" t="n">
        <v>50</v>
      </c>
      <c r="F7" t="inlineStr">
        <is>
          <t>Muestra +2 h</t>
        </is>
      </c>
      <c r="G7" t="inlineStr">
        <is>
          <t>Muestra +2 h</t>
        </is>
      </c>
      <c r="H7" s="9" t="inlineStr">
        <is>
          <t>G_F + YAN</t>
        </is>
      </c>
      <c r="I7" t="inlineStr">
        <is>
          <t>CRÍTICA</t>
        </is>
      </c>
    </row>
    <row r="8">
      <c r="A8" t="n">
        <v>7</v>
      </c>
      <c r="B8" t="inlineStr">
        <is>
          <t>+4 h</t>
        </is>
      </c>
      <c r="C8" s="2" t="n">
        <v>46275</v>
      </c>
      <c r="D8" s="7" t="n">
        <v>0.5833333333333334</v>
      </c>
      <c r="E8" s="8" t="n">
        <v>52</v>
      </c>
      <c r="F8" t="inlineStr">
        <is>
          <t>Muestra +4 h</t>
        </is>
      </c>
      <c r="G8" t="inlineStr">
        <is>
          <t>Muestra +4 h</t>
        </is>
      </c>
      <c r="H8" s="9" t="inlineStr">
        <is>
          <t>G_F + YAN + Oculyze</t>
        </is>
      </c>
      <c r="I8" t="inlineStr">
        <is>
          <t>CRÍTICA</t>
        </is>
      </c>
    </row>
    <row r="9">
      <c r="A9" t="n">
        <v>8</v>
      </c>
      <c r="B9" t="inlineStr">
        <is>
          <t>+6 h</t>
        </is>
      </c>
      <c r="C9" s="2" t="n">
        <v>46275</v>
      </c>
      <c r="D9" s="7" t="n">
        <v>0.6666666666666666</v>
      </c>
      <c r="E9" s="8" t="n">
        <v>54</v>
      </c>
      <c r="F9" t="inlineStr">
        <is>
          <t>Muestra +6 h</t>
        </is>
      </c>
      <c r="G9" t="inlineStr">
        <is>
          <t>Muestra +6 h</t>
        </is>
      </c>
      <c r="H9" s="9" t="inlineStr">
        <is>
          <t>G_F + YAN</t>
        </is>
      </c>
      <c r="I9" t="inlineStr">
        <is>
          <t>CRÍTICA</t>
        </is>
      </c>
    </row>
    <row r="10">
      <c r="A10" t="n">
        <v>9</v>
      </c>
      <c r="B10" t="inlineStr">
        <is>
          <t>+24 h</t>
        </is>
      </c>
      <c r="C10" s="2" t="n">
        <v>46276</v>
      </c>
      <c r="D10" s="7" t="n">
        <v>0.4166666666666667</v>
      </c>
      <c r="E10" s="8" t="n">
        <v>72</v>
      </c>
      <c r="F10" t="inlineStr">
        <is>
          <t>Muestra +24 h</t>
        </is>
      </c>
      <c r="G10" t="inlineStr">
        <is>
          <t>Muestra +24 h</t>
        </is>
      </c>
      <c r="H10" s="9" t="inlineStr">
        <is>
          <t>G_F + YAN + Oculyze</t>
        </is>
      </c>
      <c r="I10" t="inlineStr">
        <is>
          <t>CRÍTICA</t>
        </is>
      </c>
    </row>
    <row r="11">
      <c r="A11" t="n">
        <v>10</v>
      </c>
      <c r="B11" t="inlineStr">
        <is>
          <t>cola/final</t>
        </is>
      </c>
      <c r="C11" s="2" t="n">
        <v>46279</v>
      </c>
      <c r="D11" s="7" t="n">
        <v>0.6666666666666666</v>
      </c>
      <c r="E11" s="8" t="n">
        <v>150</v>
      </c>
      <c r="F11" t="inlineStr">
        <is>
          <t>Muestra final</t>
        </is>
      </c>
      <c r="G11" t="inlineStr">
        <is>
          <t>Muestra final</t>
        </is>
      </c>
      <c r="H11" s="9" t="inlineStr">
        <is>
          <t>G_F + YAN + Oculyze + Etanol (Alcolyzer)</t>
        </is>
      </c>
      <c r="I11" t="inlineStr">
        <is>
          <t>CRÍTICA</t>
        </is>
      </c>
    </row>
  </sheetData>
  <conditionalFormatting sqref="I2:I11">
    <cfRule type="cellIs" priority="1" operator="equal" dxfId="3">
      <formula>"CRÍTICA"</formula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1" customWidth="1" min="3" max="3"/>
    <col width="7" customWidth="1" min="4" max="4"/>
    <col width="11" customWidth="1" min="5" max="5"/>
    <col width="14" customWidth="1" min="6" max="6"/>
    <col width="14" customWidth="1" min="7" max="7"/>
    <col width="5" customWidth="1" min="8" max="8"/>
    <col width="5" customWidth="1" min="9" max="9"/>
    <col width="8" customWidth="1" min="10" max="10"/>
    <col width="6" customWidth="1" min="11" max="11"/>
    <col width="8" customWidth="1" min="12" max="12"/>
    <col width="7" customWidth="1" min="13" max="13"/>
    <col width="7" customWidth="1" min="14" max="14"/>
    <col width="11" customWidth="1" min="15" max="15"/>
    <col width="10" customWidth="1" min="16" max="16"/>
  </cols>
  <sheetData>
    <row r="1" ht="30" customHeight="1">
      <c r="A1" s="6" t="inlineStr">
        <is>
          <t>#</t>
        </is>
      </c>
      <c r="B1" s="6" t="inlineStr">
        <is>
          <t>Campaign</t>
        </is>
      </c>
      <c r="C1" s="6" t="inlineStr">
        <is>
          <t>Fecha</t>
        </is>
      </c>
      <c r="D1" s="6" t="inlineStr">
        <is>
          <t>Hora</t>
        </is>
      </c>
      <c r="E1" s="6" t="inlineStr">
        <is>
          <t>t_desde_t0_h</t>
        </is>
      </c>
      <c r="F1" s="6" t="inlineStr">
        <is>
          <t>Accion_F_A</t>
        </is>
      </c>
      <c r="G1" s="6" t="inlineStr">
        <is>
          <t>Accion_F_B</t>
        </is>
      </c>
      <c r="H1" s="6" t="inlineStr">
        <is>
          <t>G_F</t>
        </is>
      </c>
      <c r="I1" s="6" t="inlineStr">
        <is>
          <t>YAN</t>
        </is>
      </c>
      <c r="J1" s="6" t="inlineStr">
        <is>
          <t>Oculyze</t>
        </is>
      </c>
      <c r="K1" s="6" t="inlineStr">
        <is>
          <t>Brix</t>
        </is>
      </c>
      <c r="L1" s="6" t="inlineStr">
        <is>
          <t>Densidad</t>
        </is>
      </c>
      <c r="M1" s="6" t="inlineStr">
        <is>
          <t>Etanol</t>
        </is>
      </c>
      <c r="N1" s="6" t="inlineStr">
        <is>
          <t>Glicerol</t>
        </is>
      </c>
      <c r="O1" s="6" t="inlineStr">
        <is>
          <t>Prioridad_max</t>
        </is>
      </c>
      <c r="P1" s="6" t="inlineStr">
        <is>
          <t>Prioridad</t>
        </is>
      </c>
    </row>
    <row r="2">
      <c r="A2" s="11" t="n">
        <v>1</v>
      </c>
      <c r="B2" s="11" t="inlineStr">
        <is>
          <t>PI</t>
        </is>
      </c>
      <c r="C2" s="12" t="n">
        <v>46273</v>
      </c>
      <c r="D2" s="13" t="n">
        <v>0.3819444444444444</v>
      </c>
      <c r="E2" s="14" t="n">
        <v>-0.83</v>
      </c>
      <c r="F2" s="11" t="inlineStr">
        <is>
          <t>Muestra (F-A)</t>
        </is>
      </c>
      <c r="G2" s="11" t="inlineStr">
        <is>
          <t>Muestra (F-B)</t>
        </is>
      </c>
      <c r="H2" s="11" t="inlineStr">
        <is>
          <t>X</t>
        </is>
      </c>
      <c r="I2" s="11" t="inlineStr">
        <is>
          <t>X</t>
        </is>
      </c>
      <c r="J2" s="11" t="inlineStr"/>
      <c r="K2" s="11" t="inlineStr">
        <is>
          <t>X</t>
        </is>
      </c>
      <c r="L2" s="11" t="inlineStr">
        <is>
          <t>X</t>
        </is>
      </c>
      <c r="M2" s="11" t="inlineStr"/>
      <c r="N2" s="11" t="inlineStr">
        <is>
          <t>X</t>
        </is>
      </c>
      <c r="O2" s="11" t="inlineStr">
        <is>
          <t>CRÍTICA</t>
        </is>
      </c>
      <c r="P2" s="11" t="inlineStr">
        <is>
          <t>ALTA</t>
        </is>
      </c>
    </row>
    <row r="3">
      <c r="A3" s="11" t="n">
        <v>2</v>
      </c>
      <c r="B3" s="11" t="inlineStr">
        <is>
          <t>t0 (post-inoculación)</t>
        </is>
      </c>
      <c r="C3" s="12" t="n">
        <v>46273</v>
      </c>
      <c r="D3" s="13" t="n">
        <v>0.4201388888888889</v>
      </c>
      <c r="E3" s="14" t="n">
        <v>0.08</v>
      </c>
      <c r="F3" s="11" t="inlineStr">
        <is>
          <t>Muestra (F-A)</t>
        </is>
      </c>
      <c r="G3" s="11" t="inlineStr">
        <is>
          <t>Muestra (F-B)</t>
        </is>
      </c>
      <c r="H3" s="11" t="inlineStr">
        <is>
          <t>X</t>
        </is>
      </c>
      <c r="I3" s="11" t="inlineStr">
        <is>
          <t>X</t>
        </is>
      </c>
      <c r="J3" s="11" t="inlineStr">
        <is>
          <t>X</t>
        </is>
      </c>
      <c r="K3" s="11" t="inlineStr">
        <is>
          <t>X</t>
        </is>
      </c>
      <c r="L3" s="11" t="inlineStr">
        <is>
          <t>X</t>
        </is>
      </c>
      <c r="M3" s="11" t="inlineStr"/>
      <c r="N3" s="11" t="inlineStr">
        <is>
          <t>X</t>
        </is>
      </c>
      <c r="O3" s="11" t="inlineStr">
        <is>
          <t>CRÍTICA</t>
        </is>
      </c>
      <c r="P3" s="11" t="inlineStr">
        <is>
          <t>CRÍTICA</t>
        </is>
      </c>
    </row>
    <row r="4">
      <c r="A4" t="n">
        <v>3</v>
      </c>
      <c r="B4" t="inlineStr">
        <is>
          <t>lag ~6.5 h</t>
        </is>
      </c>
      <c r="C4" s="2" t="n">
        <v>46273</v>
      </c>
      <c r="D4" s="7" t="n">
        <v>0.6875</v>
      </c>
      <c r="E4" s="8" t="n">
        <v>6.5</v>
      </c>
      <c r="F4" t="inlineStr">
        <is>
          <t>Muestra (F-A)</t>
        </is>
      </c>
      <c r="G4" t="inlineStr">
        <is>
          <t>Muestra (F-B)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/>
      <c r="P4" t="inlineStr">
        <is>
          <t>ALTA</t>
        </is>
      </c>
    </row>
    <row r="5">
      <c r="A5" t="n">
        <v>4</v>
      </c>
      <c r="B5" t="inlineStr">
        <is>
          <t>24 h</t>
        </is>
      </c>
      <c r="C5" s="2" t="n">
        <v>46274</v>
      </c>
      <c r="D5" s="7" t="n">
        <v>0.4166666666666667</v>
      </c>
      <c r="E5" s="8" t="n">
        <v>24</v>
      </c>
      <c r="F5" t="inlineStr">
        <is>
          <t>Muestra (F-A)</t>
        </is>
      </c>
      <c r="G5" t="inlineStr">
        <is>
          <t>Muestra (F-B)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/>
      <c r="P5" t="inlineStr">
        <is>
          <t>ALTA</t>
        </is>
      </c>
    </row>
    <row r="6">
      <c r="A6" t="n">
        <v>5</v>
      </c>
      <c r="B6" t="inlineStr">
        <is>
          <t>crecimiento ~30.67 h</t>
        </is>
      </c>
      <c r="C6" s="2" t="n">
        <v>46274</v>
      </c>
      <c r="D6" s="7" t="n">
        <v>0.6944444444444444</v>
      </c>
      <c r="E6" s="8" t="n">
        <v>30.67</v>
      </c>
      <c r="F6" t="inlineStr">
        <is>
          <t>Muestra (F-A)</t>
        </is>
      </c>
      <c r="G6" t="inlineStr">
        <is>
          <t>Muestra (F-B)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/>
      <c r="P6" t="inlineStr">
        <is>
          <t>ALTA</t>
        </is>
      </c>
    </row>
    <row r="7">
      <c r="A7" s="11" t="n">
        <v>6</v>
      </c>
      <c r="B7" s="11" t="inlineStr">
        <is>
          <t>pre-pulso</t>
        </is>
      </c>
      <c r="C7" s="12" t="n">
        <v>46275</v>
      </c>
      <c r="D7" s="13" t="n">
        <v>0.3854166666666667</v>
      </c>
      <c r="E7" s="14" t="n">
        <v>47.25</v>
      </c>
      <c r="F7" s="11" t="inlineStr">
        <is>
          <t>Muestra (F-A)</t>
        </is>
      </c>
      <c r="G7" s="11" t="inlineStr">
        <is>
          <t>Muestra (F-B)</t>
        </is>
      </c>
      <c r="H7" s="11" t="inlineStr">
        <is>
          <t>X</t>
        </is>
      </c>
      <c r="I7" s="11" t="inlineStr">
        <is>
          <t>X</t>
        </is>
      </c>
      <c r="J7" s="11" t="inlineStr">
        <is>
          <t>X</t>
        </is>
      </c>
      <c r="K7" s="11" t="inlineStr">
        <is>
          <t>X</t>
        </is>
      </c>
      <c r="L7" s="11" t="inlineStr">
        <is>
          <t>X</t>
        </is>
      </c>
      <c r="M7" s="11" t="inlineStr"/>
      <c r="N7" s="11" t="inlineStr">
        <is>
          <t>X</t>
        </is>
      </c>
      <c r="O7" s="11" t="inlineStr">
        <is>
          <t>CRÍTICA</t>
        </is>
      </c>
      <c r="P7" s="11" t="inlineStr">
        <is>
          <t>CRÍTICA</t>
        </is>
      </c>
    </row>
    <row r="8">
      <c r="A8" s="11" t="n">
        <v>7</v>
      </c>
      <c r="B8" s="11" t="inlineStr">
        <is>
          <t>+2 h</t>
        </is>
      </c>
      <c r="C8" s="12" t="n">
        <v>46275</v>
      </c>
      <c r="D8" s="13" t="n">
        <v>0.5</v>
      </c>
      <c r="E8" s="14" t="n">
        <v>50</v>
      </c>
      <c r="F8" s="11" t="inlineStr">
        <is>
          <t>Muestra (F-A)</t>
        </is>
      </c>
      <c r="G8" s="11" t="inlineStr">
        <is>
          <t>Muestra (F-B)</t>
        </is>
      </c>
      <c r="H8" s="11" t="inlineStr">
        <is>
          <t>X</t>
        </is>
      </c>
      <c r="I8" s="11" t="inlineStr">
        <is>
          <t>X</t>
        </is>
      </c>
      <c r="J8" s="11" t="inlineStr"/>
      <c r="K8" s="11" t="inlineStr">
        <is>
          <t>X</t>
        </is>
      </c>
      <c r="L8" s="11" t="inlineStr">
        <is>
          <t>X</t>
        </is>
      </c>
      <c r="M8" s="11" t="inlineStr"/>
      <c r="N8" s="11" t="inlineStr">
        <is>
          <t>X</t>
        </is>
      </c>
      <c r="O8" s="11" t="inlineStr">
        <is>
          <t>CRÍTICA</t>
        </is>
      </c>
      <c r="P8" s="11" t="inlineStr">
        <is>
          <t>CRÍTICA</t>
        </is>
      </c>
    </row>
    <row r="9">
      <c r="A9" s="11" t="n">
        <v>8</v>
      </c>
      <c r="B9" s="11" t="inlineStr">
        <is>
          <t>+4 h</t>
        </is>
      </c>
      <c r="C9" s="12" t="n">
        <v>46275</v>
      </c>
      <c r="D9" s="13" t="n">
        <v>0.5833333333333334</v>
      </c>
      <c r="E9" s="14" t="n">
        <v>52</v>
      </c>
      <c r="F9" s="11" t="inlineStr">
        <is>
          <t>Muestra (F-A)</t>
        </is>
      </c>
      <c r="G9" s="11" t="inlineStr">
        <is>
          <t>Muestra (F-B)</t>
        </is>
      </c>
      <c r="H9" s="11" t="inlineStr">
        <is>
          <t>X</t>
        </is>
      </c>
      <c r="I9" s="11" t="inlineStr">
        <is>
          <t>X</t>
        </is>
      </c>
      <c r="J9" s="11" t="inlineStr">
        <is>
          <t>X</t>
        </is>
      </c>
      <c r="K9" s="11" t="inlineStr">
        <is>
          <t>X</t>
        </is>
      </c>
      <c r="L9" s="11" t="inlineStr">
        <is>
          <t>X</t>
        </is>
      </c>
      <c r="M9" s="11" t="inlineStr"/>
      <c r="N9" s="11" t="inlineStr">
        <is>
          <t>X</t>
        </is>
      </c>
      <c r="O9" s="11" t="inlineStr">
        <is>
          <t>CRÍTICA</t>
        </is>
      </c>
      <c r="P9" s="11" t="inlineStr">
        <is>
          <t>CRÍTICA</t>
        </is>
      </c>
    </row>
    <row r="10">
      <c r="A10" s="11" t="n">
        <v>9</v>
      </c>
      <c r="B10" s="11" t="inlineStr">
        <is>
          <t>+6 h</t>
        </is>
      </c>
      <c r="C10" s="12" t="n">
        <v>46275</v>
      </c>
      <c r="D10" s="13" t="n">
        <v>0.6666666666666666</v>
      </c>
      <c r="E10" s="14" t="n">
        <v>54</v>
      </c>
      <c r="F10" s="11" t="inlineStr">
        <is>
          <t>Muestra (F-A)</t>
        </is>
      </c>
      <c r="G10" s="11" t="inlineStr">
        <is>
          <t>Muestra (F-B)</t>
        </is>
      </c>
      <c r="H10" s="11" t="inlineStr">
        <is>
          <t>X</t>
        </is>
      </c>
      <c r="I10" s="11" t="inlineStr">
        <is>
          <t>X</t>
        </is>
      </c>
      <c r="J10" s="11" t="inlineStr"/>
      <c r="K10" s="11" t="inlineStr">
        <is>
          <t>X</t>
        </is>
      </c>
      <c r="L10" s="11" t="inlineStr">
        <is>
          <t>X</t>
        </is>
      </c>
      <c r="M10" s="11" t="inlineStr"/>
      <c r="N10" s="11" t="inlineStr">
        <is>
          <t>X</t>
        </is>
      </c>
      <c r="O10" s="11" t="inlineStr">
        <is>
          <t>CRÍTICA</t>
        </is>
      </c>
      <c r="P10" s="11" t="inlineStr">
        <is>
          <t>CRÍTICA</t>
        </is>
      </c>
    </row>
    <row r="11">
      <c r="A11" s="11" t="n">
        <v>10</v>
      </c>
      <c r="B11" s="11" t="inlineStr">
        <is>
          <t>+24 h</t>
        </is>
      </c>
      <c r="C11" s="12" t="n">
        <v>46276</v>
      </c>
      <c r="D11" s="13" t="n">
        <v>0.4166666666666667</v>
      </c>
      <c r="E11" s="14" t="n">
        <v>72</v>
      </c>
      <c r="F11" s="11" t="inlineStr">
        <is>
          <t>Muestra (F-A)</t>
        </is>
      </c>
      <c r="G11" s="11" t="inlineStr">
        <is>
          <t>Muestra (F-B)</t>
        </is>
      </c>
      <c r="H11" s="11" t="inlineStr">
        <is>
          <t>X</t>
        </is>
      </c>
      <c r="I11" s="11" t="inlineStr">
        <is>
          <t>X</t>
        </is>
      </c>
      <c r="J11" s="11" t="inlineStr">
        <is>
          <t>X</t>
        </is>
      </c>
      <c r="K11" s="11" t="inlineStr">
        <is>
          <t>X</t>
        </is>
      </c>
      <c r="L11" s="11" t="inlineStr">
        <is>
          <t>X</t>
        </is>
      </c>
      <c r="M11" s="11" t="inlineStr"/>
      <c r="N11" s="11" t="inlineStr">
        <is>
          <t>X</t>
        </is>
      </c>
      <c r="O11" s="11" t="inlineStr">
        <is>
          <t>CRÍTICA</t>
        </is>
      </c>
      <c r="P11" s="11" t="inlineStr">
        <is>
          <t>CRÍTICA</t>
        </is>
      </c>
    </row>
    <row r="12">
      <c r="A12" t="n">
        <v>11</v>
      </c>
      <c r="B12" t="inlineStr">
        <is>
          <t>lectura barata</t>
        </is>
      </c>
      <c r="C12" s="2" t="n">
        <v>46276</v>
      </c>
      <c r="D12" s="7" t="n">
        <v>0.4791666666666667</v>
      </c>
      <c r="E12" s="8" t="n">
        <v>73.5</v>
      </c>
      <c r="F12" t="inlineStr">
        <is>
          <t>Muestra (F-A)</t>
        </is>
      </c>
      <c r="G12" t="inlineStr">
        <is>
          <t>Muestra (F-B)</t>
        </is>
      </c>
      <c r="H12" t="inlineStr"/>
      <c r="I12" t="inlineStr"/>
      <c r="J12" t="inlineStr"/>
      <c r="K12" t="inlineStr">
        <is>
          <t>X</t>
        </is>
      </c>
      <c r="L12" t="inlineStr">
        <is>
          <t>X</t>
        </is>
      </c>
      <c r="M12" t="inlineStr"/>
      <c r="N12" t="inlineStr"/>
      <c r="O12" t="inlineStr"/>
      <c r="P12" t="inlineStr">
        <is>
          <t>MEDIA</t>
        </is>
      </c>
    </row>
    <row r="13">
      <c r="A13" t="n">
        <v>12</v>
      </c>
      <c r="B13" t="inlineStr">
        <is>
          <t>cola ~142 h</t>
        </is>
      </c>
      <c r="C13" s="2" t="n">
        <v>46279</v>
      </c>
      <c r="D13" s="7" t="n">
        <v>0.3402777777777778</v>
      </c>
      <c r="E13" s="8" t="n">
        <v>142.17</v>
      </c>
      <c r="F13" t="inlineStr">
        <is>
          <t>Muestra (F-A)</t>
        </is>
      </c>
      <c r="G13" t="inlineStr">
        <is>
          <t>Muestra (F-B)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inlineStr">
        <is>
          <t>X</t>
        </is>
      </c>
      <c r="O13" t="inlineStr"/>
      <c r="P13" t="inlineStr">
        <is>
          <t>ALTA</t>
        </is>
      </c>
    </row>
    <row r="14">
      <c r="A14" s="11" t="n">
        <v>13</v>
      </c>
      <c r="B14" s="11" t="inlineStr">
        <is>
          <t>final ~150 h</t>
        </is>
      </c>
      <c r="C14" s="12" t="n">
        <v>46279</v>
      </c>
      <c r="D14" s="13" t="n">
        <v>0.6666666666666666</v>
      </c>
      <c r="E14" s="14" t="n">
        <v>150</v>
      </c>
      <c r="F14" s="11" t="inlineStr">
        <is>
          <t>Muestra (F-A)</t>
        </is>
      </c>
      <c r="G14" s="11" t="inlineStr">
        <is>
          <t>Muestra (F-B)</t>
        </is>
      </c>
      <c r="H14" s="11" t="inlineStr">
        <is>
          <t>X</t>
        </is>
      </c>
      <c r="I14" s="11" t="inlineStr">
        <is>
          <t>X</t>
        </is>
      </c>
      <c r="J14" s="11" t="inlineStr">
        <is>
          <t>X</t>
        </is>
      </c>
      <c r="K14" s="11" t="inlineStr">
        <is>
          <t>X</t>
        </is>
      </c>
      <c r="L14" s="11" t="inlineStr">
        <is>
          <t>X</t>
        </is>
      </c>
      <c r="M14" s="11" t="inlineStr">
        <is>
          <t>X</t>
        </is>
      </c>
      <c r="N14" s="11" t="inlineStr">
        <is>
          <t>X</t>
        </is>
      </c>
      <c r="O14" s="11" t="inlineStr">
        <is>
          <t>CRÍTICA</t>
        </is>
      </c>
      <c r="P14" s="11" t="inlineStr">
        <is>
          <t>CRÍTICA</t>
        </is>
      </c>
    </row>
  </sheetData>
  <conditionalFormatting sqref="A2:O14">
    <cfRule type="cellIs" priority="1" operator="equal" dxfId="3">
      <formula>"CRÍTICA"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9" customWidth="1" min="4" max="4"/>
    <col width="9" customWidth="1" min="5" max="5"/>
    <col width="8" customWidth="1" min="6" max="6"/>
    <col width="14" customWidth="1" min="7" max="7"/>
    <col width="10" customWidth="1" min="8" max="8"/>
    <col width="11" customWidth="1" min="9" max="9"/>
    <col width="14" customWidth="1" min="10" max="10"/>
    <col width="10" customWidth="1" min="11" max="11"/>
    <col width="11" customWidth="1" min="12" max="12"/>
    <col width="14" customWidth="1" min="13" max="13"/>
    <col width="15" customWidth="1" min="14" max="14"/>
    <col width="15" customWidth="1" min="15" max="15"/>
    <col width="10" customWidth="1" min="16" max="16"/>
    <col width="16" customWidth="1" min="17" max="17"/>
    <col width="16" customWidth="1" min="18" max="18"/>
    <col width="34" customWidth="1" min="19" max="19"/>
    <col width="12" customWidth="1" min="20" max="20"/>
    <col width="40" customWidth="1" min="21" max="21"/>
  </cols>
  <sheetData>
    <row r="1" ht="30" customHeight="1">
      <c r="A1" s="6" t="inlineStr">
        <is>
          <t>CodigoLab</t>
        </is>
      </c>
      <c r="B1" s="6" t="inlineStr">
        <is>
          <t>Fermentador</t>
        </is>
      </c>
      <c r="C1" s="6" t="inlineStr">
        <is>
          <t>Fecha</t>
        </is>
      </c>
      <c r="D1" s="6" t="inlineStr">
        <is>
          <t>Hora_inicio</t>
        </is>
      </c>
      <c r="E1" s="6" t="inlineStr">
        <is>
          <t>Hora_fin</t>
        </is>
      </c>
      <c r="F1" s="6" t="inlineStr">
        <is>
          <t>tauN_h</t>
        </is>
      </c>
      <c r="G1" s="6" t="inlineStr">
        <is>
          <t>Producto_SFX</t>
        </is>
      </c>
      <c r="H1" s="6" t="inlineStr">
        <is>
          <t>Lote_SFX</t>
        </is>
      </c>
      <c r="I1" s="6" t="inlineStr">
        <is>
          <t>Masa_SFX_g</t>
        </is>
      </c>
      <c r="J1" s="6" t="inlineStr">
        <is>
          <t>Producto_FDA</t>
        </is>
      </c>
      <c r="K1" s="6" t="inlineStr">
        <is>
          <t>Lote_FDA</t>
        </is>
      </c>
      <c r="L1" s="6" t="inlineStr">
        <is>
          <t>Masa_FDA_g</t>
        </is>
      </c>
      <c r="M1" s="6" t="inlineStr">
        <is>
          <t>Volumen_preparado_mL</t>
        </is>
      </c>
      <c r="N1" s="6" t="inlineStr">
        <is>
          <t>Volumen_administrado_mL</t>
        </is>
      </c>
      <c r="O1" s="6" t="inlineStr">
        <is>
          <t>Masa_o_volumen_residual</t>
        </is>
      </c>
      <c r="P1" s="6" t="inlineStr">
        <is>
          <t>Enjuague_si_no</t>
        </is>
      </c>
      <c r="Q1" s="6" t="inlineStr">
        <is>
          <t>Dosis_YAN_calculada_mg</t>
        </is>
      </c>
      <c r="R1" s="6" t="inlineStr">
        <is>
          <t>DeltaN_calculado_kg_m3</t>
        </is>
      </c>
      <c r="S1" s="6" t="inlineStr">
        <is>
          <t>Fuente_conversion_YAN</t>
        </is>
      </c>
      <c r="T1" s="6" t="inlineStr">
        <is>
          <t>Confirmado_si_no</t>
        </is>
      </c>
      <c r="U1" s="6" t="inlineStr">
        <is>
          <t>Observaciones</t>
        </is>
      </c>
    </row>
    <row r="2">
      <c r="A2" t="inlineStr"/>
      <c r="B2" t="inlineStr">
        <is>
          <t>F-A</t>
        </is>
      </c>
      <c r="C2" s="2" t="n">
        <v>46275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No aplica</t>
        </is>
      </c>
      <c r="U2" s="9" t="inlineStr">
        <is>
          <t>Control SIN nutrición. No administrar.</t>
        </is>
      </c>
    </row>
    <row r="3">
      <c r="A3" t="inlineStr"/>
      <c r="B3" t="inlineStr">
        <is>
          <t>F-B</t>
        </is>
      </c>
      <c r="C3" s="2" t="n">
        <v>46275</v>
      </c>
      <c r="D3" s="7" t="n">
        <v>0.4131944444444444</v>
      </c>
      <c r="E3" s="7" t="n">
        <v>0.4166666666666667</v>
      </c>
      <c r="F3" s="8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PENDIENTE</t>
        </is>
      </c>
      <c r="R3" t="inlineStr">
        <is>
          <t>PENDIENTE</t>
        </is>
      </c>
      <c r="S3" t="inlineStr">
        <is>
          <t>PENDIENTE: confirmar composición YAN de SFX/FDA antes de calcular</t>
        </is>
      </c>
      <c r="T3" t="inlineStr"/>
      <c r="U3" s="9" t="inlineStr">
        <is>
          <t>Pesaje fisico primario. tauN = 0 en el FIN real (ver METADATA). Programado: inicio 09:55, fin 10:00.</t>
        </is>
      </c>
    </row>
  </sheetData>
  <dataValidations count="1">
    <dataValidation sqref="P2:Q2" showDropDown="0" showInputMessage="0" showErrorMessage="0" allowBlank="1" type="list">
      <formula1>"Sí,No,PENDIENTE"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7" customWidth="1" min="4" max="4"/>
    <col width="17" customWidth="1" min="5" max="5"/>
    <col width="7" customWidth="1" min="6" max="6"/>
    <col width="7" customWidth="1" min="7" max="7"/>
    <col width="42" customWidth="1" min="8" max="8"/>
    <col width="12" customWidth="1" min="9" max="9"/>
    <col width="5" customWidth="1" min="10" max="10"/>
    <col width="5" customWidth="1" min="11" max="11"/>
    <col width="5" customWidth="1" min="12" max="12"/>
    <col width="8" customWidth="1" min="13" max="13"/>
    <col width="6" customWidth="1" min="14" max="14"/>
    <col width="8" customWidth="1" min="15" max="15"/>
    <col width="7" customWidth="1" min="16" max="16"/>
    <col width="14" customWidth="1" min="17" max="17"/>
    <col width="12" customWidth="1" min="18" max="18"/>
    <col width="11" customWidth="1" min="19" max="19"/>
    <col width="9" customWidth="1" min="20" max="20"/>
    <col width="34" customWidth="1" min="21" max="21"/>
  </cols>
  <sheetData>
    <row r="1" ht="30" customHeight="1">
      <c r="A1" s="6" t="inlineStr">
        <is>
          <t>Sample_ID</t>
        </is>
      </c>
      <c r="B1" s="6" t="inlineStr">
        <is>
          <t>CodigoLab</t>
        </is>
      </c>
      <c r="C1" s="6" t="inlineStr">
        <is>
          <t>Fermentador</t>
        </is>
      </c>
      <c r="D1" s="6" t="inlineStr">
        <is>
          <t>FechaHora_programada</t>
        </is>
      </c>
      <c r="E1" s="6" t="inlineStr">
        <is>
          <t>FechaHora_real</t>
        </is>
      </c>
      <c r="F1" s="6" t="inlineStr">
        <is>
          <t>t_h</t>
        </is>
      </c>
      <c r="G1" s="6" t="inlineStr">
        <is>
          <t>tauN_h</t>
        </is>
      </c>
      <c r="H1" s="6" t="inlineStr">
        <is>
          <t>Tipo_muestra</t>
        </is>
      </c>
      <c r="I1" s="6" t="inlineStr">
        <is>
          <t>Volumen_extraido_mL</t>
        </is>
      </c>
      <c r="J1" s="6" t="inlineStr">
        <is>
          <t>G_F</t>
        </is>
      </c>
      <c r="K1" s="6" t="inlineStr">
        <is>
          <t>YAN</t>
        </is>
      </c>
      <c r="L1" s="6" t="inlineStr">
        <is>
          <t>Gly</t>
        </is>
      </c>
      <c r="M1" s="6" t="inlineStr">
        <is>
          <t>Oculyze</t>
        </is>
      </c>
      <c r="N1" s="6" t="inlineStr">
        <is>
          <t>Brix</t>
        </is>
      </c>
      <c r="O1" s="6" t="inlineStr">
        <is>
          <t>Densidad</t>
        </is>
      </c>
      <c r="P1" s="6" t="inlineStr">
        <is>
          <t>Etanol</t>
        </is>
      </c>
      <c r="Q1" s="6" t="inlineStr">
        <is>
          <t>Almacenamiento</t>
        </is>
      </c>
      <c r="R1" s="6" t="inlineStr">
        <is>
          <t>Ubicacion</t>
        </is>
      </c>
      <c r="S1" s="6" t="inlineStr">
        <is>
          <t>Procesada_si_no</t>
        </is>
      </c>
      <c r="T1" s="6" t="inlineStr">
        <is>
          <t>QC_flag</t>
        </is>
      </c>
      <c r="U1" s="6" t="inlineStr">
        <is>
          <t>Observaciones</t>
        </is>
      </c>
    </row>
    <row r="2">
      <c r="A2" t="inlineStr">
        <is>
          <t>FA_PI</t>
        </is>
      </c>
      <c r="B2" t="inlineStr"/>
      <c r="C2" t="inlineStr">
        <is>
          <t>F-A</t>
        </is>
      </c>
      <c r="D2" s="4" t="n">
        <v>46273.38194444445</v>
      </c>
      <c r="E2" s="4" t="inlineStr"/>
      <c r="F2" s="8" t="n">
        <v>-0.83</v>
      </c>
      <c r="G2" s="8" t="n"/>
      <c r="H2" s="9" t="inlineStr">
        <is>
          <t>PI mosto (pre-inóculo)</t>
        </is>
      </c>
      <c r="I2" t="inlineStr"/>
      <c r="J2" t="inlineStr">
        <is>
          <t>●</t>
        </is>
      </c>
      <c r="K2" t="inlineStr">
        <is>
          <t>●</t>
        </is>
      </c>
      <c r="L2" t="inlineStr">
        <is>
          <t>●</t>
        </is>
      </c>
      <c r="M2" t="inlineStr"/>
      <c r="N2" t="inlineStr">
        <is>
          <t>●</t>
        </is>
      </c>
      <c r="O2" t="inlineStr">
        <is>
          <t>●</t>
        </is>
      </c>
      <c r="P2" t="inlineStr"/>
      <c r="Q2" t="inlineStr"/>
      <c r="R2" t="inlineStr"/>
      <c r="S2" t="inlineStr"/>
      <c r="T2" t="inlineStr"/>
      <c r="U2" t="inlineStr">
        <is>
          <t>● = análisis planificado; marcar OK al procesar</t>
        </is>
      </c>
    </row>
    <row r="3">
      <c r="A3" t="inlineStr">
        <is>
          <t>FB_PI</t>
        </is>
      </c>
      <c r="B3" t="inlineStr"/>
      <c r="C3" t="inlineStr">
        <is>
          <t>F-B</t>
        </is>
      </c>
      <c r="D3" s="4" t="n">
        <v>46273.38194444445</v>
      </c>
      <c r="E3" s="4" t="inlineStr"/>
      <c r="F3" s="8" t="n">
        <v>-0.83</v>
      </c>
      <c r="G3" s="8" t="n"/>
      <c r="H3" s="9" t="inlineStr">
        <is>
          <t>PI mosto (pre-inóculo)</t>
        </is>
      </c>
      <c r="I3" t="inlineStr"/>
      <c r="J3" t="inlineStr">
        <is>
          <t>●</t>
        </is>
      </c>
      <c r="K3" t="inlineStr">
        <is>
          <t>●</t>
        </is>
      </c>
      <c r="L3" t="inlineStr">
        <is>
          <t>●</t>
        </is>
      </c>
      <c r="M3" t="inlineStr"/>
      <c r="N3" t="inlineStr">
        <is>
          <t>●</t>
        </is>
      </c>
      <c r="O3" t="inlineStr">
        <is>
          <t>●</t>
        </is>
      </c>
      <c r="P3" t="inlineStr"/>
      <c r="Q3" t="inlineStr"/>
      <c r="R3" t="inlineStr"/>
      <c r="S3" t="inlineStr"/>
      <c r="T3" t="inlineStr"/>
      <c r="U3" t="inlineStr">
        <is>
          <t>● = análisis planificado; marcar OK al procesar</t>
        </is>
      </c>
    </row>
    <row r="4">
      <c r="A4" t="inlineStr">
        <is>
          <t>FA_T000</t>
        </is>
      </c>
      <c r="B4" t="inlineStr"/>
      <c r="C4" t="inlineStr">
        <is>
          <t>F-A</t>
        </is>
      </c>
      <c r="D4" s="4" t="n">
        <v>46273.42013888889</v>
      </c>
      <c r="E4" s="4" t="inlineStr"/>
      <c r="F4" s="8" t="n">
        <v>0.08</v>
      </c>
      <c r="G4" s="8" t="n"/>
      <c r="H4" s="9" t="inlineStr">
        <is>
          <t>Post-inoculación (química + Oculyze + fisicoquímica)</t>
        </is>
      </c>
      <c r="I4" t="inlineStr"/>
      <c r="J4" t="inlineStr">
        <is>
          <t>●</t>
        </is>
      </c>
      <c r="K4" t="inlineStr">
        <is>
          <t>●</t>
        </is>
      </c>
      <c r="L4" t="inlineStr">
        <is>
          <t>●</t>
        </is>
      </c>
      <c r="M4" t="inlineStr">
        <is>
          <t>●</t>
        </is>
      </c>
      <c r="N4" t="inlineStr">
        <is>
          <t>●</t>
        </is>
      </c>
      <c r="O4" t="inlineStr"/>
      <c r="P4" t="inlineStr">
        <is>
          <t>●</t>
        </is>
      </c>
      <c r="Q4" t="inlineStr"/>
      <c r="R4" t="inlineStr"/>
      <c r="S4" t="inlineStr"/>
      <c r="T4" t="inlineStr"/>
      <c r="U4" t="inlineStr">
        <is>
          <t>● = análisis planificado; marcar OK al procesar</t>
        </is>
      </c>
    </row>
    <row r="5">
      <c r="A5" t="inlineStr">
        <is>
          <t>FB_T000</t>
        </is>
      </c>
      <c r="B5" t="inlineStr"/>
      <c r="C5" t="inlineStr">
        <is>
          <t>F-B</t>
        </is>
      </c>
      <c r="D5" s="4" t="n">
        <v>46273.42013888889</v>
      </c>
      <c r="E5" s="4" t="inlineStr"/>
      <c r="F5" s="8" t="n">
        <v>0.08</v>
      </c>
      <c r="G5" s="8" t="n"/>
      <c r="H5" s="9" t="inlineStr">
        <is>
          <t>Post-inoculación (química + Oculyze + fisicoquímica)</t>
        </is>
      </c>
      <c r="I5" t="inlineStr"/>
      <c r="J5" t="inlineStr">
        <is>
          <t>●</t>
        </is>
      </c>
      <c r="K5" t="inlineStr">
        <is>
          <t>●</t>
        </is>
      </c>
      <c r="L5" t="inlineStr">
        <is>
          <t>●</t>
        </is>
      </c>
      <c r="M5" t="inlineStr">
        <is>
          <t>●</t>
        </is>
      </c>
      <c r="N5" t="inlineStr">
        <is>
          <t>●</t>
        </is>
      </c>
      <c r="O5" t="inlineStr"/>
      <c r="P5" t="inlineStr">
        <is>
          <t>●</t>
        </is>
      </c>
      <c r="Q5" t="inlineStr"/>
      <c r="R5" t="inlineStr"/>
      <c r="S5" t="inlineStr"/>
      <c r="T5" t="inlineStr"/>
      <c r="U5" t="inlineStr">
        <is>
          <t>● = análisis planificado; marcar OK al procesar</t>
        </is>
      </c>
    </row>
    <row r="6">
      <c r="A6" t="inlineStr">
        <is>
          <t>FA_T0065</t>
        </is>
      </c>
      <c r="B6" t="inlineStr"/>
      <c r="C6" t="inlineStr">
        <is>
          <t>F-A</t>
        </is>
      </c>
      <c r="D6" s="4" t="n">
        <v>46273.6875</v>
      </c>
      <c r="E6" s="4" t="inlineStr"/>
      <c r="F6" s="8" t="n">
        <v>6.5</v>
      </c>
      <c r="G6" s="8" t="n"/>
      <c r="H6" s="9" t="inlineStr">
        <is>
          <t>Lag 6.5 h (química + Oculyze + fisicoquímica)</t>
        </is>
      </c>
      <c r="I6" t="inlineStr"/>
      <c r="J6" t="inlineStr">
        <is>
          <t>●</t>
        </is>
      </c>
      <c r="K6" t="inlineStr">
        <is>
          <t>●</t>
        </is>
      </c>
      <c r="L6" t="inlineStr">
        <is>
          <t>●</t>
        </is>
      </c>
      <c r="M6" t="inlineStr">
        <is>
          <t>●</t>
        </is>
      </c>
      <c r="N6" t="inlineStr">
        <is>
          <t>●</t>
        </is>
      </c>
      <c r="O6" t="inlineStr"/>
      <c r="P6" t="inlineStr">
        <is>
          <t>●</t>
        </is>
      </c>
      <c r="Q6" t="inlineStr"/>
      <c r="R6" t="inlineStr"/>
      <c r="S6" t="inlineStr"/>
      <c r="T6" t="inlineStr"/>
      <c r="U6" t="inlineStr">
        <is>
          <t>● = análisis planificado; marcar OK al procesar</t>
        </is>
      </c>
    </row>
    <row r="7">
      <c r="A7" t="inlineStr">
        <is>
          <t>FB_T0065</t>
        </is>
      </c>
      <c r="B7" t="inlineStr"/>
      <c r="C7" t="inlineStr">
        <is>
          <t>F-B</t>
        </is>
      </c>
      <c r="D7" s="4" t="n">
        <v>46273.6875</v>
      </c>
      <c r="E7" s="4" t="inlineStr"/>
      <c r="F7" s="8" t="n">
        <v>6.5</v>
      </c>
      <c r="G7" s="8" t="n"/>
      <c r="H7" s="9" t="inlineStr">
        <is>
          <t>Lag 6.5 h (química + Oculyze + fisicoquímica)</t>
        </is>
      </c>
      <c r="I7" t="inlineStr"/>
      <c r="J7" t="inlineStr">
        <is>
          <t>●</t>
        </is>
      </c>
      <c r="K7" t="inlineStr">
        <is>
          <t>●</t>
        </is>
      </c>
      <c r="L7" t="inlineStr">
        <is>
          <t>●</t>
        </is>
      </c>
      <c r="M7" t="inlineStr">
        <is>
          <t>●</t>
        </is>
      </c>
      <c r="N7" t="inlineStr">
        <is>
          <t>●</t>
        </is>
      </c>
      <c r="O7" t="inlineStr"/>
      <c r="P7" t="inlineStr">
        <is>
          <t>●</t>
        </is>
      </c>
      <c r="Q7" t="inlineStr"/>
      <c r="R7" t="inlineStr"/>
      <c r="S7" t="inlineStr"/>
      <c r="T7" t="inlineStr"/>
      <c r="U7" t="inlineStr">
        <is>
          <t>● = análisis planificado; marcar OK al procesar</t>
        </is>
      </c>
    </row>
    <row r="8">
      <c r="A8" t="inlineStr">
        <is>
          <t>FA_T0240</t>
        </is>
      </c>
      <c r="B8" t="inlineStr"/>
      <c r="C8" t="inlineStr">
        <is>
          <t>F-A</t>
        </is>
      </c>
      <c r="D8" s="4" t="n">
        <v>46274.41666666666</v>
      </c>
      <c r="E8" s="4" t="inlineStr"/>
      <c r="F8" s="8" t="n">
        <v>24</v>
      </c>
      <c r="G8" s="8" t="n"/>
      <c r="H8" s="9" t="inlineStr">
        <is>
          <t>24 h (química + Oculyze + fisicoquímica)</t>
        </is>
      </c>
      <c r="I8" t="inlineStr"/>
      <c r="J8" t="inlineStr">
        <is>
          <t>●</t>
        </is>
      </c>
      <c r="K8" t="inlineStr">
        <is>
          <t>●</t>
        </is>
      </c>
      <c r="L8" t="inlineStr">
        <is>
          <t>●</t>
        </is>
      </c>
      <c r="M8" t="inlineStr">
        <is>
          <t>●</t>
        </is>
      </c>
      <c r="N8" t="inlineStr">
        <is>
          <t>●</t>
        </is>
      </c>
      <c r="O8" t="inlineStr"/>
      <c r="P8" t="inlineStr">
        <is>
          <t>●</t>
        </is>
      </c>
      <c r="Q8" t="inlineStr"/>
      <c r="R8" t="inlineStr"/>
      <c r="S8" t="inlineStr"/>
      <c r="T8" t="inlineStr"/>
      <c r="U8" t="inlineStr">
        <is>
          <t>● = análisis planificado; marcar OK al procesar</t>
        </is>
      </c>
    </row>
    <row r="9">
      <c r="A9" t="inlineStr">
        <is>
          <t>FB_T0240</t>
        </is>
      </c>
      <c r="B9" t="inlineStr"/>
      <c r="C9" t="inlineStr">
        <is>
          <t>F-B</t>
        </is>
      </c>
      <c r="D9" s="4" t="n">
        <v>46274.41666666666</v>
      </c>
      <c r="E9" s="4" t="inlineStr"/>
      <c r="F9" s="8" t="n">
        <v>24</v>
      </c>
      <c r="G9" s="8" t="n"/>
      <c r="H9" s="9" t="inlineStr">
        <is>
          <t>24 h (química + Oculyze + fisicoquímica)</t>
        </is>
      </c>
      <c r="I9" t="inlineStr"/>
      <c r="J9" t="inlineStr">
        <is>
          <t>●</t>
        </is>
      </c>
      <c r="K9" t="inlineStr">
        <is>
          <t>●</t>
        </is>
      </c>
      <c r="L9" t="inlineStr">
        <is>
          <t>●</t>
        </is>
      </c>
      <c r="M9" t="inlineStr">
        <is>
          <t>●</t>
        </is>
      </c>
      <c r="N9" t="inlineStr">
        <is>
          <t>●</t>
        </is>
      </c>
      <c r="O9" t="inlineStr"/>
      <c r="P9" t="inlineStr">
        <is>
          <t>●</t>
        </is>
      </c>
      <c r="Q9" t="inlineStr"/>
      <c r="R9" t="inlineStr"/>
      <c r="S9" t="inlineStr"/>
      <c r="T9" t="inlineStr"/>
      <c r="U9" t="inlineStr">
        <is>
          <t>● = análisis planificado; marcar OK al procesar</t>
        </is>
      </c>
    </row>
    <row r="10">
      <c r="A10" t="inlineStr">
        <is>
          <t>FA_T0307</t>
        </is>
      </c>
      <c r="B10" t="inlineStr"/>
      <c r="C10" t="inlineStr">
        <is>
          <t>F-A</t>
        </is>
      </c>
      <c r="D10" s="4" t="n">
        <v>46274.69444444445</v>
      </c>
      <c r="E10" s="4" t="inlineStr"/>
      <c r="F10" s="8" t="n">
        <v>30.67</v>
      </c>
      <c r="G10" s="8" t="n"/>
      <c r="H10" s="9" t="inlineStr">
        <is>
          <t>Ascenso ~30.67 h (química + Oculyze + fisicoquímica)</t>
        </is>
      </c>
      <c r="I10" t="inlineStr"/>
      <c r="J10" t="inlineStr">
        <is>
          <t>●</t>
        </is>
      </c>
      <c r="K10" t="inlineStr">
        <is>
          <t>●</t>
        </is>
      </c>
      <c r="L10" t="inlineStr">
        <is>
          <t>●</t>
        </is>
      </c>
      <c r="M10" t="inlineStr">
        <is>
          <t>●</t>
        </is>
      </c>
      <c r="N10" t="inlineStr">
        <is>
          <t>●</t>
        </is>
      </c>
      <c r="O10" t="inlineStr"/>
      <c r="P10" t="inlineStr">
        <is>
          <t>●</t>
        </is>
      </c>
      <c r="Q10" t="inlineStr"/>
      <c r="R10" t="inlineStr"/>
      <c r="S10" t="inlineStr"/>
      <c r="T10" t="inlineStr"/>
      <c r="U10" t="inlineStr">
        <is>
          <t>● = análisis planificado; marcar OK al procesar</t>
        </is>
      </c>
    </row>
    <row r="11">
      <c r="A11" t="inlineStr">
        <is>
          <t>FB_T0307</t>
        </is>
      </c>
      <c r="B11" t="inlineStr"/>
      <c r="C11" t="inlineStr">
        <is>
          <t>F-B</t>
        </is>
      </c>
      <c r="D11" s="4" t="n">
        <v>46274.69444444445</v>
      </c>
      <c r="E11" s="4" t="inlineStr"/>
      <c r="F11" s="8" t="n">
        <v>30.67</v>
      </c>
      <c r="G11" s="8" t="n"/>
      <c r="H11" s="9" t="inlineStr">
        <is>
          <t>Ascenso ~30.67 h (química + Oculyze + fisicoquímica)</t>
        </is>
      </c>
      <c r="I11" t="inlineStr"/>
      <c r="J11" t="inlineStr">
        <is>
          <t>●</t>
        </is>
      </c>
      <c r="K11" t="inlineStr">
        <is>
          <t>●</t>
        </is>
      </c>
      <c r="L11" t="inlineStr">
        <is>
          <t>●</t>
        </is>
      </c>
      <c r="M11" t="inlineStr">
        <is>
          <t>●</t>
        </is>
      </c>
      <c r="N11" t="inlineStr">
        <is>
          <t>●</t>
        </is>
      </c>
      <c r="O11" t="inlineStr"/>
      <c r="P11" t="inlineStr">
        <is>
          <t>●</t>
        </is>
      </c>
      <c r="Q11" t="inlineStr"/>
      <c r="R11" t="inlineStr"/>
      <c r="S11" t="inlineStr"/>
      <c r="T11" t="inlineStr"/>
      <c r="U11" t="inlineStr">
        <is>
          <t>● = análisis planificado; marcar OK al procesar</t>
        </is>
      </c>
    </row>
    <row r="12">
      <c r="A12" t="inlineStr">
        <is>
          <t>FA_PREN</t>
        </is>
      </c>
      <c r="B12" t="inlineStr"/>
      <c r="C12" t="inlineStr">
        <is>
          <t>F-A</t>
        </is>
      </c>
      <c r="D12" s="4" t="n">
        <v>46275.38541666666</v>
      </c>
      <c r="E12" s="4" t="inlineStr"/>
      <c r="F12" s="8" t="n">
        <v>47.25</v>
      </c>
      <c r="G12" s="8" t="n">
        <v>-0.67</v>
      </c>
      <c r="H12" s="9" t="inlineStr">
        <is>
          <t>Pre-pulso / pre-nutrición (química + Oculyze + fisicoquímica)</t>
        </is>
      </c>
      <c r="I12" t="inlineStr"/>
      <c r="J12" t="inlineStr">
        <is>
          <t>●</t>
        </is>
      </c>
      <c r="K12" t="inlineStr">
        <is>
          <t>●</t>
        </is>
      </c>
      <c r="L12" t="inlineStr">
        <is>
          <t>●</t>
        </is>
      </c>
      <c r="M12" t="inlineStr">
        <is>
          <t>●</t>
        </is>
      </c>
      <c r="N12" t="inlineStr">
        <is>
          <t>●</t>
        </is>
      </c>
      <c r="O12" t="inlineStr"/>
      <c r="P12" t="inlineStr">
        <is>
          <t>●</t>
        </is>
      </c>
      <c r="Q12" t="inlineStr"/>
      <c r="R12" t="inlineStr"/>
      <c r="S12" t="inlineStr"/>
      <c r="T12" t="inlineStr"/>
      <c r="U12" t="inlineStr">
        <is>
          <t>● = análisis planificado; marcar OK al procesar</t>
        </is>
      </c>
    </row>
    <row r="13">
      <c r="A13" t="inlineStr">
        <is>
          <t>FB_PREN</t>
        </is>
      </c>
      <c r="B13" t="inlineStr"/>
      <c r="C13" t="inlineStr">
        <is>
          <t>F-B</t>
        </is>
      </c>
      <c r="D13" s="4" t="n">
        <v>46275.38541666666</v>
      </c>
      <c r="E13" s="4" t="inlineStr"/>
      <c r="F13" s="8" t="n">
        <v>47.25</v>
      </c>
      <c r="G13" s="8" t="n">
        <v>-0.67</v>
      </c>
      <c r="H13" s="9" t="inlineStr">
        <is>
          <t>Pre-pulso / pre-nutrición (química + Oculyze + fisicoquímica)</t>
        </is>
      </c>
      <c r="I13" t="inlineStr"/>
      <c r="J13" t="inlineStr">
        <is>
          <t>●</t>
        </is>
      </c>
      <c r="K13" t="inlineStr">
        <is>
          <t>●</t>
        </is>
      </c>
      <c r="L13" t="inlineStr">
        <is>
          <t>●</t>
        </is>
      </c>
      <c r="M13" t="inlineStr">
        <is>
          <t>●</t>
        </is>
      </c>
      <c r="N13" t="inlineStr">
        <is>
          <t>●</t>
        </is>
      </c>
      <c r="O13" t="inlineStr"/>
      <c r="P13" t="inlineStr">
        <is>
          <t>●</t>
        </is>
      </c>
      <c r="Q13" t="inlineStr"/>
      <c r="R13" t="inlineStr"/>
      <c r="S13" t="inlineStr"/>
      <c r="T13" t="inlineStr"/>
      <c r="U13" t="inlineStr">
        <is>
          <t>● = análisis planificado; marcar OK al procesar</t>
        </is>
      </c>
    </row>
    <row r="14">
      <c r="A14" t="inlineStr">
        <is>
          <t>FA_NP02</t>
        </is>
      </c>
      <c r="B14" t="inlineStr"/>
      <c r="C14" t="inlineStr">
        <is>
          <t>F-A</t>
        </is>
      </c>
      <c r="D14" s="4" t="n">
        <v>46275.5</v>
      </c>
      <c r="E14" s="4" t="inlineStr"/>
      <c r="F14" s="8" t="n">
        <v>50</v>
      </c>
      <c r="G14" s="8" t="n">
        <v>2</v>
      </c>
      <c r="H14" s="9" t="inlineStr">
        <is>
          <t>+2 h post-nutrición (química + fisicoquímica)</t>
        </is>
      </c>
      <c r="I14" t="inlineStr"/>
      <c r="J14" t="inlineStr">
        <is>
          <t>●</t>
        </is>
      </c>
      <c r="K14" t="inlineStr">
        <is>
          <t>●</t>
        </is>
      </c>
      <c r="L14" t="inlineStr">
        <is>
          <t>●</t>
        </is>
      </c>
      <c r="M14" t="inlineStr"/>
      <c r="N14" t="inlineStr">
        <is>
          <t>●</t>
        </is>
      </c>
      <c r="O14" t="inlineStr">
        <is>
          <t>●</t>
        </is>
      </c>
      <c r="P14" t="inlineStr">
        <is>
          <t>●</t>
        </is>
      </c>
      <c r="Q14" t="inlineStr"/>
      <c r="R14" t="inlineStr"/>
      <c r="S14" t="inlineStr"/>
      <c r="T14" t="inlineStr"/>
      <c r="U14" t="inlineStr">
        <is>
          <t>● = análisis planificado; marcar OK al procesar</t>
        </is>
      </c>
    </row>
    <row r="15">
      <c r="A15" t="inlineStr">
        <is>
          <t>FB_NP02</t>
        </is>
      </c>
      <c r="B15" t="inlineStr"/>
      <c r="C15" t="inlineStr">
        <is>
          <t>F-B</t>
        </is>
      </c>
      <c r="D15" s="4" t="n">
        <v>46275.5</v>
      </c>
      <c r="E15" s="4" t="inlineStr"/>
      <c r="F15" s="8" t="n">
        <v>50</v>
      </c>
      <c r="G15" s="8" t="n">
        <v>2</v>
      </c>
      <c r="H15" s="9" t="inlineStr">
        <is>
          <t>+2 h post-nutrición (química + fisicoquímica)</t>
        </is>
      </c>
      <c r="I15" t="inlineStr"/>
      <c r="J15" t="inlineStr">
        <is>
          <t>●</t>
        </is>
      </c>
      <c r="K15" t="inlineStr">
        <is>
          <t>●</t>
        </is>
      </c>
      <c r="L15" t="inlineStr">
        <is>
          <t>●</t>
        </is>
      </c>
      <c r="M15" t="inlineStr"/>
      <c r="N15" t="inlineStr">
        <is>
          <t>●</t>
        </is>
      </c>
      <c r="O15" t="inlineStr">
        <is>
          <t>●</t>
        </is>
      </c>
      <c r="P15" t="inlineStr">
        <is>
          <t>●</t>
        </is>
      </c>
      <c r="Q15" t="inlineStr"/>
      <c r="R15" t="inlineStr"/>
      <c r="S15" t="inlineStr"/>
      <c r="T15" t="inlineStr"/>
      <c r="U15" t="inlineStr">
        <is>
          <t>● = análisis planificado; marcar OK al procesar</t>
        </is>
      </c>
    </row>
    <row r="16">
      <c r="A16" t="inlineStr">
        <is>
          <t>FA_NP04</t>
        </is>
      </c>
      <c r="B16" t="inlineStr"/>
      <c r="C16" t="inlineStr">
        <is>
          <t>F-A</t>
        </is>
      </c>
      <c r="D16" s="4" t="n">
        <v>46275.58333333334</v>
      </c>
      <c r="E16" s="4" t="inlineStr"/>
      <c r="F16" s="8" t="n">
        <v>52</v>
      </c>
      <c r="G16" s="8" t="n">
        <v>4</v>
      </c>
      <c r="H16" s="9" t="inlineStr">
        <is>
          <t>+4 h post-nutrición (química + Oculyze + fisicoquímica)</t>
        </is>
      </c>
      <c r="I16" t="inlineStr"/>
      <c r="J16" t="inlineStr">
        <is>
          <t>●</t>
        </is>
      </c>
      <c r="K16" t="inlineStr">
        <is>
          <t>●</t>
        </is>
      </c>
      <c r="L16" t="inlineStr">
        <is>
          <t>●</t>
        </is>
      </c>
      <c r="M16" t="inlineStr">
        <is>
          <t>●</t>
        </is>
      </c>
      <c r="N16" t="inlineStr">
        <is>
          <t>●</t>
        </is>
      </c>
      <c r="O16" t="inlineStr"/>
      <c r="P16" t="inlineStr">
        <is>
          <t>●</t>
        </is>
      </c>
      <c r="Q16" t="inlineStr"/>
      <c r="R16" t="inlineStr"/>
      <c r="S16" t="inlineStr"/>
      <c r="T16" t="inlineStr"/>
      <c r="U16" t="inlineStr">
        <is>
          <t>● = análisis planificado; marcar OK al procesar</t>
        </is>
      </c>
    </row>
    <row r="17">
      <c r="A17" t="inlineStr">
        <is>
          <t>FB_NP04</t>
        </is>
      </c>
      <c r="B17" t="inlineStr"/>
      <c r="C17" t="inlineStr">
        <is>
          <t>F-B</t>
        </is>
      </c>
      <c r="D17" s="4" t="n">
        <v>46275.58333333334</v>
      </c>
      <c r="E17" s="4" t="inlineStr"/>
      <c r="F17" s="8" t="n">
        <v>52</v>
      </c>
      <c r="G17" s="8" t="n">
        <v>4</v>
      </c>
      <c r="H17" s="9" t="inlineStr">
        <is>
          <t>+4 h post-nutrición (química + Oculyze + fisicoquímica)</t>
        </is>
      </c>
      <c r="I17" t="inlineStr"/>
      <c r="J17" t="inlineStr">
        <is>
          <t>●</t>
        </is>
      </c>
      <c r="K17" t="inlineStr">
        <is>
          <t>●</t>
        </is>
      </c>
      <c r="L17" t="inlineStr">
        <is>
          <t>●</t>
        </is>
      </c>
      <c r="M17" t="inlineStr">
        <is>
          <t>●</t>
        </is>
      </c>
      <c r="N17" t="inlineStr">
        <is>
          <t>●</t>
        </is>
      </c>
      <c r="O17" t="inlineStr"/>
      <c r="P17" t="inlineStr">
        <is>
          <t>●</t>
        </is>
      </c>
      <c r="Q17" t="inlineStr"/>
      <c r="R17" t="inlineStr"/>
      <c r="S17" t="inlineStr"/>
      <c r="T17" t="inlineStr"/>
      <c r="U17" t="inlineStr">
        <is>
          <t>● = análisis planificado; marcar OK al procesar</t>
        </is>
      </c>
    </row>
    <row r="18">
      <c r="A18" t="inlineStr">
        <is>
          <t>FA_NP06</t>
        </is>
      </c>
      <c r="B18" t="inlineStr"/>
      <c r="C18" t="inlineStr">
        <is>
          <t>F-A</t>
        </is>
      </c>
      <c r="D18" s="4" t="n">
        <v>46275.66666666666</v>
      </c>
      <c r="E18" s="4" t="inlineStr"/>
      <c r="F18" s="8" t="n">
        <v>54</v>
      </c>
      <c r="G18" s="8" t="n">
        <v>6</v>
      </c>
      <c r="H18" s="9" t="inlineStr">
        <is>
          <t>+6 h post-nutrición (química + fisicoquímica; Alcolyzer)</t>
        </is>
      </c>
      <c r="I18" t="inlineStr"/>
      <c r="J18" t="inlineStr">
        <is>
          <t>●</t>
        </is>
      </c>
      <c r="K18" t="inlineStr">
        <is>
          <t>●</t>
        </is>
      </c>
      <c r="L18" t="inlineStr">
        <is>
          <t>●</t>
        </is>
      </c>
      <c r="M18" t="inlineStr"/>
      <c r="N18" t="inlineStr">
        <is>
          <t>●</t>
        </is>
      </c>
      <c r="O18" t="inlineStr">
        <is>
          <t>●</t>
        </is>
      </c>
      <c r="P18" t="inlineStr">
        <is>
          <t>●</t>
        </is>
      </c>
      <c r="Q18" t="inlineStr"/>
      <c r="R18" t="inlineStr"/>
      <c r="S18" t="inlineStr"/>
      <c r="T18" t="inlineStr"/>
      <c r="U18" t="inlineStr">
        <is>
          <t>● = análisis planificado; marcar OK al procesar</t>
        </is>
      </c>
    </row>
    <row r="19">
      <c r="A19" t="inlineStr">
        <is>
          <t>FB_NP06</t>
        </is>
      </c>
      <c r="B19" t="inlineStr"/>
      <c r="C19" t="inlineStr">
        <is>
          <t>F-B</t>
        </is>
      </c>
      <c r="D19" s="4" t="n">
        <v>46275.66666666666</v>
      </c>
      <c r="E19" s="4" t="inlineStr"/>
      <c r="F19" s="8" t="n">
        <v>54</v>
      </c>
      <c r="G19" s="8" t="n">
        <v>6</v>
      </c>
      <c r="H19" s="9" t="inlineStr">
        <is>
          <t>+6 h post-nutrición (química + fisicoquímica; Alcolyzer)</t>
        </is>
      </c>
      <c r="I19" t="inlineStr"/>
      <c r="J19" t="inlineStr">
        <is>
          <t>●</t>
        </is>
      </c>
      <c r="K19" t="inlineStr">
        <is>
          <t>●</t>
        </is>
      </c>
      <c r="L19" t="inlineStr">
        <is>
          <t>●</t>
        </is>
      </c>
      <c r="M19" t="inlineStr"/>
      <c r="N19" t="inlineStr">
        <is>
          <t>●</t>
        </is>
      </c>
      <c r="O19" t="inlineStr">
        <is>
          <t>●</t>
        </is>
      </c>
      <c r="P19" t="inlineStr">
        <is>
          <t>●</t>
        </is>
      </c>
      <c r="Q19" t="inlineStr"/>
      <c r="R19" t="inlineStr"/>
      <c r="S19" t="inlineStr"/>
      <c r="T19" t="inlineStr"/>
      <c r="U19" t="inlineStr">
        <is>
          <t>● = análisis planificado; marcar OK al procesar</t>
        </is>
      </c>
    </row>
    <row r="20">
      <c r="A20" t="inlineStr">
        <is>
          <t>FA_NP24</t>
        </is>
      </c>
      <c r="B20" t="inlineStr"/>
      <c r="C20" t="inlineStr">
        <is>
          <t>F-A</t>
        </is>
      </c>
      <c r="D20" s="4" t="n">
        <v>46276.41666666666</v>
      </c>
      <c r="E20" s="4" t="inlineStr"/>
      <c r="F20" s="8" t="n">
        <v>72</v>
      </c>
      <c r="G20" s="8" t="n">
        <v>24</v>
      </c>
      <c r="H20" s="9" t="inlineStr">
        <is>
          <t>+24 h post-nutrición (química + Oculyze + fisicoquímica)</t>
        </is>
      </c>
      <c r="I20" t="inlineStr"/>
      <c r="J20" t="inlineStr">
        <is>
          <t>●</t>
        </is>
      </c>
      <c r="K20" t="inlineStr">
        <is>
          <t>●</t>
        </is>
      </c>
      <c r="L20" t="inlineStr">
        <is>
          <t>●</t>
        </is>
      </c>
      <c r="M20" t="inlineStr">
        <is>
          <t>●</t>
        </is>
      </c>
      <c r="N20" t="inlineStr">
        <is>
          <t>●</t>
        </is>
      </c>
      <c r="O20" t="inlineStr"/>
      <c r="P20" t="inlineStr">
        <is>
          <t>●</t>
        </is>
      </c>
      <c r="Q20" t="inlineStr"/>
      <c r="R20" t="inlineStr"/>
      <c r="S20" t="inlineStr"/>
      <c r="T20" t="inlineStr"/>
      <c r="U20" t="inlineStr">
        <is>
          <t>● = análisis planificado; marcar OK al procesar</t>
        </is>
      </c>
    </row>
    <row r="21">
      <c r="A21" t="inlineStr">
        <is>
          <t>FB_NP24</t>
        </is>
      </c>
      <c r="B21" t="inlineStr"/>
      <c r="C21" t="inlineStr">
        <is>
          <t>F-B</t>
        </is>
      </c>
      <c r="D21" s="4" t="n">
        <v>46276.41666666666</v>
      </c>
      <c r="E21" s="4" t="inlineStr"/>
      <c r="F21" s="8" t="n">
        <v>72</v>
      </c>
      <c r="G21" s="8" t="n">
        <v>24</v>
      </c>
      <c r="H21" s="9" t="inlineStr">
        <is>
          <t>+24 h post-nutrición (química + Oculyze + fisicoquímica)</t>
        </is>
      </c>
      <c r="I21" t="inlineStr"/>
      <c r="J21" t="inlineStr">
        <is>
          <t>●</t>
        </is>
      </c>
      <c r="K21" t="inlineStr">
        <is>
          <t>●</t>
        </is>
      </c>
      <c r="L21" t="inlineStr">
        <is>
          <t>●</t>
        </is>
      </c>
      <c r="M21" t="inlineStr">
        <is>
          <t>●</t>
        </is>
      </c>
      <c r="N21" t="inlineStr">
        <is>
          <t>●</t>
        </is>
      </c>
      <c r="O21" t="inlineStr"/>
      <c r="P21" t="inlineStr">
        <is>
          <t>●</t>
        </is>
      </c>
      <c r="Q21" t="inlineStr"/>
      <c r="R21" t="inlineStr"/>
      <c r="S21" t="inlineStr"/>
      <c r="T21" t="inlineStr"/>
      <c r="U21" t="inlineStr">
        <is>
          <t>● = análisis planificado; marcar OK al procesar</t>
        </is>
      </c>
    </row>
    <row r="22">
      <c r="A22" t="inlineStr">
        <is>
          <t>FA_T0735</t>
        </is>
      </c>
      <c r="B22" t="inlineStr"/>
      <c r="C22" t="inlineStr">
        <is>
          <t>F-A</t>
        </is>
      </c>
      <c r="D22" s="4" t="n">
        <v>46276.47916666666</v>
      </c>
      <c r="E22" s="4" t="inlineStr"/>
      <c r="F22" s="8" t="n">
        <v>73.5</v>
      </c>
      <c r="G22" s="8" t="n">
        <v>25.5</v>
      </c>
      <c r="H22" s="9" t="inlineStr">
        <is>
          <t>Lectura barata (Brix/densidad)</t>
        </is>
      </c>
      <c r="I22" t="inlineStr"/>
      <c r="J22" t="inlineStr"/>
      <c r="K22" t="inlineStr"/>
      <c r="L22" t="inlineStr"/>
      <c r="M22" t="inlineStr">
        <is>
          <t>●</t>
        </is>
      </c>
      <c r="N22" t="inlineStr">
        <is>
          <t>●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● = análisis planificado; marcar OK al procesar</t>
        </is>
      </c>
    </row>
    <row r="23">
      <c r="A23" t="inlineStr">
        <is>
          <t>FB_T0735</t>
        </is>
      </c>
      <c r="B23" t="inlineStr"/>
      <c r="C23" t="inlineStr">
        <is>
          <t>F-B</t>
        </is>
      </c>
      <c r="D23" s="4" t="n">
        <v>46276.47916666666</v>
      </c>
      <c r="E23" s="4" t="inlineStr"/>
      <c r="F23" s="8" t="n">
        <v>73.5</v>
      </c>
      <c r="G23" s="8" t="n">
        <v>25.5</v>
      </c>
      <c r="H23" s="9" t="inlineStr">
        <is>
          <t>Lectura barata (Brix/densidad)</t>
        </is>
      </c>
      <c r="I23" t="inlineStr"/>
      <c r="J23" t="inlineStr"/>
      <c r="K23" t="inlineStr"/>
      <c r="L23" t="inlineStr"/>
      <c r="M23" t="inlineStr">
        <is>
          <t>●</t>
        </is>
      </c>
      <c r="N23" t="inlineStr">
        <is>
          <t>●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● = análisis planificado; marcar OK al procesar</t>
        </is>
      </c>
    </row>
    <row r="24">
      <c r="A24" t="inlineStr">
        <is>
          <t>FA_COLA</t>
        </is>
      </c>
      <c r="B24" t="inlineStr"/>
      <c r="C24" t="inlineStr">
        <is>
          <t>F-A</t>
        </is>
      </c>
      <c r="D24" s="4" t="n">
        <v>46279.34027777778</v>
      </c>
      <c r="E24" s="4" t="inlineStr"/>
      <c r="F24" s="8" t="n">
        <v>142.17</v>
      </c>
      <c r="G24" s="8" t="n">
        <v>94.17</v>
      </c>
      <c r="H24" s="9" t="inlineStr">
        <is>
          <t>Cola ~142 h (química + Oculyze + fisicoquímica)</t>
        </is>
      </c>
      <c r="I24" t="inlineStr"/>
      <c r="J24" t="inlineStr">
        <is>
          <t>●</t>
        </is>
      </c>
      <c r="K24" t="inlineStr">
        <is>
          <t>●</t>
        </is>
      </c>
      <c r="L24" t="inlineStr">
        <is>
          <t>●</t>
        </is>
      </c>
      <c r="M24" t="inlineStr">
        <is>
          <t>●</t>
        </is>
      </c>
      <c r="N24" t="inlineStr">
        <is>
          <t>●</t>
        </is>
      </c>
      <c r="O24" t="inlineStr">
        <is>
          <t>●</t>
        </is>
      </c>
      <c r="P24" t="inlineStr">
        <is>
          <t>●</t>
        </is>
      </c>
      <c r="Q24" t="inlineStr"/>
      <c r="R24" t="inlineStr"/>
      <c r="S24" t="inlineStr"/>
      <c r="T24" t="inlineStr"/>
      <c r="U24" t="inlineStr">
        <is>
          <t>● = análisis planificado; marcar OK al procesar</t>
        </is>
      </c>
    </row>
    <row r="25">
      <c r="A25" t="inlineStr">
        <is>
          <t>FB_COLA</t>
        </is>
      </c>
      <c r="B25" t="inlineStr"/>
      <c r="C25" t="inlineStr">
        <is>
          <t>F-B</t>
        </is>
      </c>
      <c r="D25" s="4" t="n">
        <v>46279.34027777778</v>
      </c>
      <c r="E25" s="4" t="inlineStr"/>
      <c r="F25" s="8" t="n">
        <v>142.17</v>
      </c>
      <c r="G25" s="8" t="n">
        <v>94.17</v>
      </c>
      <c r="H25" s="9" t="inlineStr">
        <is>
          <t>Cola ~142 h (química + Oculyze + fisicoquímica)</t>
        </is>
      </c>
      <c r="I25" t="inlineStr"/>
      <c r="J25" t="inlineStr">
        <is>
          <t>●</t>
        </is>
      </c>
      <c r="K25" t="inlineStr">
        <is>
          <t>●</t>
        </is>
      </c>
      <c r="L25" t="inlineStr">
        <is>
          <t>●</t>
        </is>
      </c>
      <c r="M25" t="inlineStr">
        <is>
          <t>●</t>
        </is>
      </c>
      <c r="N25" t="inlineStr">
        <is>
          <t>●</t>
        </is>
      </c>
      <c r="O25" t="inlineStr">
        <is>
          <t>●</t>
        </is>
      </c>
      <c r="P25" t="inlineStr">
        <is>
          <t>●</t>
        </is>
      </c>
      <c r="Q25" t="inlineStr"/>
      <c r="R25" t="inlineStr"/>
      <c r="S25" t="inlineStr"/>
      <c r="T25" t="inlineStr"/>
      <c r="U25" t="inlineStr">
        <is>
          <t>● = análisis planificado; marcar OK al procesar</t>
        </is>
      </c>
    </row>
    <row r="26">
      <c r="A26" t="inlineStr">
        <is>
          <t>FA_FIN</t>
        </is>
      </c>
      <c r="B26" t="inlineStr"/>
      <c r="C26" t="inlineStr">
        <is>
          <t>F-A</t>
        </is>
      </c>
      <c r="D26" s="4" t="n">
        <v>46279.66666666666</v>
      </c>
      <c r="E26" s="4" t="inlineStr"/>
      <c r="F26" s="8" t="n">
        <v>150</v>
      </c>
      <c r="G26" s="8" t="n">
        <v>102</v>
      </c>
      <c r="H26" s="9" t="inlineStr">
        <is>
          <t>Final ~150 h (química + Oculyze + fisicoquímica + Alcolyzer)</t>
        </is>
      </c>
      <c r="I26" t="inlineStr"/>
      <c r="J26" t="inlineStr">
        <is>
          <t>●</t>
        </is>
      </c>
      <c r="K26" t="inlineStr">
        <is>
          <t>●</t>
        </is>
      </c>
      <c r="L26" t="inlineStr">
        <is>
          <t>●</t>
        </is>
      </c>
      <c r="M26" t="inlineStr">
        <is>
          <t>●</t>
        </is>
      </c>
      <c r="N26" t="inlineStr">
        <is>
          <t>●</t>
        </is>
      </c>
      <c r="O26" t="inlineStr">
        <is>
          <t>●</t>
        </is>
      </c>
      <c r="P26" t="inlineStr">
        <is>
          <t>●</t>
        </is>
      </c>
      <c r="Q26" t="inlineStr"/>
      <c r="R26" t="inlineStr"/>
      <c r="S26" t="inlineStr"/>
      <c r="T26" t="inlineStr"/>
      <c r="U26" t="inlineStr">
        <is>
          <t>● = análisis planificado; marcar OK al procesar</t>
        </is>
      </c>
    </row>
    <row r="27">
      <c r="A27" t="inlineStr">
        <is>
          <t>FB_FIN</t>
        </is>
      </c>
      <c r="B27" t="inlineStr"/>
      <c r="C27" t="inlineStr">
        <is>
          <t>F-B</t>
        </is>
      </c>
      <c r="D27" s="4" t="n">
        <v>46279.66666666666</v>
      </c>
      <c r="E27" s="4" t="inlineStr"/>
      <c r="F27" s="8" t="n">
        <v>150</v>
      </c>
      <c r="G27" s="8" t="n">
        <v>102</v>
      </c>
      <c r="H27" s="9" t="inlineStr">
        <is>
          <t>Final ~150 h (química + Oculyze + fisicoquímica + Alcolyzer)</t>
        </is>
      </c>
      <c r="I27" t="inlineStr"/>
      <c r="J27" t="inlineStr">
        <is>
          <t>●</t>
        </is>
      </c>
      <c r="K27" t="inlineStr">
        <is>
          <t>●</t>
        </is>
      </c>
      <c r="L27" t="inlineStr">
        <is>
          <t>●</t>
        </is>
      </c>
      <c r="M27" t="inlineStr">
        <is>
          <t>●</t>
        </is>
      </c>
      <c r="N27" t="inlineStr">
        <is>
          <t>●</t>
        </is>
      </c>
      <c r="O27" t="inlineStr">
        <is>
          <t>●</t>
        </is>
      </c>
      <c r="P27" t="inlineStr">
        <is>
          <t>●</t>
        </is>
      </c>
      <c r="Q27" t="inlineStr"/>
      <c r="R27" t="inlineStr"/>
      <c r="S27" t="inlineStr"/>
      <c r="T27" t="inlineStr"/>
      <c r="U27" t="inlineStr">
        <is>
          <t>● = análisis planificado; marcar OK al procesar</t>
        </is>
      </c>
    </row>
    <row r="29">
      <c r="A29" s="3" t="inlineStr">
        <is>
          <t>Convención Sample_ID: {FA|FB}_{etiqueta}. PI = pre-inóculo; T#### = horas desde t0 × 10 (4 dígitos, ej. T0065 = 6.5 h, T0307 = 30.67 h redondeado); PREN = pre-nutrición; NP## = nutrición +## h; T0735 = lectura 73.5 h; COLA/FIN = cierre. ● = análisis planificado.</t>
        </is>
      </c>
    </row>
    <row r="30"/>
  </sheetData>
  <autoFilter ref="A1:U27"/>
  <mergeCells count="1">
    <mergeCell ref="A29:U30"/>
  </mergeCells>
  <dataValidations count="1">
    <dataValidation sqref="S2:S27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4" customWidth="1" min="4" max="4"/>
    <col width="13" customWidth="1" min="5" max="5"/>
    <col width="13" customWidth="1" min="6" max="6"/>
    <col width="14" customWidth="1" min="7" max="7"/>
    <col width="12" customWidth="1" min="8" max="8"/>
    <col width="10" customWidth="1" min="9" max="9"/>
    <col width="10" customWidth="1" min="10" max="10"/>
    <col width="8" customWidth="1" min="11" max="11"/>
    <col width="34" customWidth="1" min="12" max="12"/>
  </cols>
  <sheetData>
    <row r="1" ht="30" customHeight="1">
      <c r="A1" s="6" t="inlineStr">
        <is>
          <t>Sample_ID</t>
        </is>
      </c>
      <c r="B1" s="6" t="inlineStr">
        <is>
          <t>FechaHora</t>
        </is>
      </c>
      <c r="C1" s="6" t="inlineStr">
        <is>
          <t>Fermentador</t>
        </is>
      </c>
      <c r="D1" s="6" t="inlineStr">
        <is>
          <t>Report_generado</t>
        </is>
      </c>
      <c r="E1" s="6" t="inlineStr">
        <is>
          <t>Numero_imagenes</t>
        </is>
      </c>
      <c r="F1" s="6" t="inlineStr">
        <is>
          <t>Concentration</t>
        </is>
      </c>
      <c r="G1" s="6" t="inlineStr">
        <is>
          <t>Viability_percent</t>
        </is>
      </c>
      <c r="H1" s="6" t="inlineStr">
        <is>
          <t>Budding_Index</t>
        </is>
      </c>
      <c r="I1" s="6" t="inlineStr">
        <is>
          <t>X_kg_m3</t>
        </is>
      </c>
      <c r="J1" s="6" t="inlineStr">
        <is>
          <t>Xd_kg_m3</t>
        </is>
      </c>
      <c r="K1" s="6" t="inlineStr">
        <is>
          <t>QC</t>
        </is>
      </c>
      <c r="L1" s="6" t="inlineStr">
        <is>
          <t>Observaciones</t>
        </is>
      </c>
    </row>
    <row r="2">
      <c r="A2" t="inlineStr">
        <is>
          <t>FA_T000</t>
        </is>
      </c>
      <c r="B2" s="4" t="n">
        <v>46273.42013888889</v>
      </c>
      <c r="C2" t="inlineStr">
        <is>
          <t>F-A</t>
        </is>
      </c>
      <c r="D2" t="inlineStr"/>
      <c r="E2" t="inlineStr"/>
      <c r="F2" t="inlineStr"/>
      <c r="G2" t="inlineStr"/>
      <c r="H2" t="inlineStr"/>
      <c r="I2" s="15">
        <f>IF(OR($F2="",$G2=""),"",$F2*$G2/100*0.03)</f>
        <v/>
      </c>
      <c r="J2" s="15">
        <f>IF(OR($F2="",$G2=""),"",$F2*(1-$G2/100)*0.03)</f>
        <v/>
      </c>
      <c r="K2" t="inlineStr"/>
      <c r="L2" t="inlineStr"/>
    </row>
    <row r="3">
      <c r="A3" t="inlineStr">
        <is>
          <t>FB_T000</t>
        </is>
      </c>
      <c r="B3" s="4" t="n">
        <v>46273.42013888889</v>
      </c>
      <c r="C3" t="inlineStr">
        <is>
          <t>F-B</t>
        </is>
      </c>
      <c r="D3" t="inlineStr"/>
      <c r="E3" t="inlineStr"/>
      <c r="F3" t="inlineStr"/>
      <c r="G3" t="inlineStr"/>
      <c r="H3" t="inlineStr"/>
      <c r="I3" s="15">
        <f>IF(OR($F3="",$G3=""),"",$F3*$G3/100*0.03)</f>
        <v/>
      </c>
      <c r="J3" s="15">
        <f>IF(OR($F3="",$G3=""),"",$F3*(1-$G3/100)*0.03)</f>
        <v/>
      </c>
      <c r="K3" t="inlineStr"/>
      <c r="L3" t="inlineStr"/>
    </row>
    <row r="4">
      <c r="A4" t="inlineStr">
        <is>
          <t>FA_T0065</t>
        </is>
      </c>
      <c r="B4" s="4" t="n">
        <v>46273.6875</v>
      </c>
      <c r="C4" t="inlineStr">
        <is>
          <t>F-A</t>
        </is>
      </c>
      <c r="D4" t="inlineStr"/>
      <c r="E4" t="inlineStr"/>
      <c r="F4" t="inlineStr"/>
      <c r="G4" t="inlineStr"/>
      <c r="H4" t="inlineStr"/>
      <c r="I4" s="15">
        <f>IF(OR($F4="",$G4=""),"",$F4*$G4/100*0.03)</f>
        <v/>
      </c>
      <c r="J4" s="15">
        <f>IF(OR($F4="",$G4=""),"",$F4*(1-$G4/100)*0.03)</f>
        <v/>
      </c>
      <c r="K4" t="inlineStr"/>
      <c r="L4" t="inlineStr"/>
    </row>
    <row r="5">
      <c r="A5" t="inlineStr">
        <is>
          <t>FB_T0065</t>
        </is>
      </c>
      <c r="B5" s="4" t="n">
        <v>46273.6875</v>
      </c>
      <c r="C5" t="inlineStr">
        <is>
          <t>F-B</t>
        </is>
      </c>
      <c r="D5" t="inlineStr"/>
      <c r="E5" t="inlineStr"/>
      <c r="F5" t="inlineStr"/>
      <c r="G5" t="inlineStr"/>
      <c r="H5" t="inlineStr"/>
      <c r="I5" s="15">
        <f>IF(OR($F5="",$G5=""),"",$F5*$G5/100*0.03)</f>
        <v/>
      </c>
      <c r="J5" s="15">
        <f>IF(OR($F5="",$G5=""),"",$F5*(1-$G5/100)*0.03)</f>
        <v/>
      </c>
      <c r="K5" t="inlineStr"/>
      <c r="L5" t="inlineStr"/>
    </row>
    <row r="6">
      <c r="A6" t="inlineStr">
        <is>
          <t>FA_T0240</t>
        </is>
      </c>
      <c r="B6" s="4" t="n">
        <v>46274.41666666666</v>
      </c>
      <c r="C6" t="inlineStr">
        <is>
          <t>F-A</t>
        </is>
      </c>
      <c r="D6" t="inlineStr"/>
      <c r="E6" t="inlineStr"/>
      <c r="F6" t="inlineStr"/>
      <c r="G6" t="inlineStr"/>
      <c r="H6" t="inlineStr"/>
      <c r="I6" s="15">
        <f>IF(OR($F6="",$G6=""),"",$F6*$G6/100*0.03)</f>
        <v/>
      </c>
      <c r="J6" s="15">
        <f>IF(OR($F6="",$G6=""),"",$F6*(1-$G6/100)*0.03)</f>
        <v/>
      </c>
      <c r="K6" t="inlineStr"/>
      <c r="L6" t="inlineStr"/>
    </row>
    <row r="7">
      <c r="A7" t="inlineStr">
        <is>
          <t>FB_T0240</t>
        </is>
      </c>
      <c r="B7" s="4" t="n">
        <v>46274.41666666666</v>
      </c>
      <c r="C7" t="inlineStr">
        <is>
          <t>F-B</t>
        </is>
      </c>
      <c r="D7" t="inlineStr"/>
      <c r="E7" t="inlineStr"/>
      <c r="F7" t="inlineStr"/>
      <c r="G7" t="inlineStr"/>
      <c r="H7" t="inlineStr"/>
      <c r="I7" s="15">
        <f>IF(OR($F7="",$G7=""),"",$F7*$G7/100*0.03)</f>
        <v/>
      </c>
      <c r="J7" s="15">
        <f>IF(OR($F7="",$G7=""),"",$F7*(1-$G7/100)*0.03)</f>
        <v/>
      </c>
      <c r="K7" t="inlineStr"/>
      <c r="L7" t="inlineStr"/>
    </row>
    <row r="8">
      <c r="A8" t="inlineStr">
        <is>
          <t>FA_T0307</t>
        </is>
      </c>
      <c r="B8" s="4" t="n">
        <v>46274.69444444445</v>
      </c>
      <c r="C8" t="inlineStr">
        <is>
          <t>F-A</t>
        </is>
      </c>
      <c r="D8" t="inlineStr"/>
      <c r="E8" t="inlineStr"/>
      <c r="F8" t="inlineStr"/>
      <c r="G8" t="inlineStr"/>
      <c r="H8" t="inlineStr"/>
      <c r="I8" s="15">
        <f>IF(OR($F8="",$G8=""),"",$F8*$G8/100*0.03)</f>
        <v/>
      </c>
      <c r="J8" s="15">
        <f>IF(OR($F8="",$G8=""),"",$F8*(1-$G8/100)*0.03)</f>
        <v/>
      </c>
      <c r="K8" t="inlineStr"/>
      <c r="L8" t="inlineStr"/>
    </row>
    <row r="9">
      <c r="A9" t="inlineStr">
        <is>
          <t>FB_T0307</t>
        </is>
      </c>
      <c r="B9" s="4" t="n">
        <v>46274.69444444445</v>
      </c>
      <c r="C9" t="inlineStr">
        <is>
          <t>F-B</t>
        </is>
      </c>
      <c r="D9" t="inlineStr"/>
      <c r="E9" t="inlineStr"/>
      <c r="F9" t="inlineStr"/>
      <c r="G9" t="inlineStr"/>
      <c r="H9" t="inlineStr"/>
      <c r="I9" s="15">
        <f>IF(OR($F9="",$G9=""),"",$F9*$G9/100*0.03)</f>
        <v/>
      </c>
      <c r="J9" s="15">
        <f>IF(OR($F9="",$G9=""),"",$F9*(1-$G9/100)*0.03)</f>
        <v/>
      </c>
      <c r="K9" t="inlineStr"/>
      <c r="L9" t="inlineStr"/>
    </row>
    <row r="10">
      <c r="A10" t="inlineStr">
        <is>
          <t>FA_PREN</t>
        </is>
      </c>
      <c r="B10" s="4" t="n">
        <v>46275.38541666666</v>
      </c>
      <c r="C10" t="inlineStr">
        <is>
          <t>F-A</t>
        </is>
      </c>
      <c r="D10" t="inlineStr"/>
      <c r="E10" t="inlineStr"/>
      <c r="F10" t="inlineStr"/>
      <c r="G10" t="inlineStr"/>
      <c r="H10" t="inlineStr"/>
      <c r="I10" s="15">
        <f>IF(OR($F10="",$G10=""),"",$F10*$G10/100*0.03)</f>
        <v/>
      </c>
      <c r="J10" s="15">
        <f>IF(OR($F10="",$G10=""),"",$F10*(1-$G10/100)*0.03)</f>
        <v/>
      </c>
      <c r="K10" t="inlineStr"/>
      <c r="L10" t="inlineStr"/>
    </row>
    <row r="11">
      <c r="A11" t="inlineStr">
        <is>
          <t>FB_PREN</t>
        </is>
      </c>
      <c r="B11" s="4" t="n">
        <v>46275.38541666666</v>
      </c>
      <c r="C11" t="inlineStr">
        <is>
          <t>F-B</t>
        </is>
      </c>
      <c r="D11" t="inlineStr"/>
      <c r="E11" t="inlineStr"/>
      <c r="F11" t="inlineStr"/>
      <c r="G11" t="inlineStr"/>
      <c r="H11" t="inlineStr"/>
      <c r="I11" s="15">
        <f>IF(OR($F11="",$G11=""),"",$F11*$G11/100*0.03)</f>
        <v/>
      </c>
      <c r="J11" s="15">
        <f>IF(OR($F11="",$G11=""),"",$F11*(1-$G11/100)*0.03)</f>
        <v/>
      </c>
      <c r="K11" t="inlineStr"/>
      <c r="L11" t="inlineStr"/>
    </row>
    <row r="12">
      <c r="A12" t="inlineStr">
        <is>
          <t>FA_NP04</t>
        </is>
      </c>
      <c r="B12" s="4" t="n">
        <v>46275.58333333334</v>
      </c>
      <c r="C12" t="inlineStr">
        <is>
          <t>F-A</t>
        </is>
      </c>
      <c r="D12" t="inlineStr"/>
      <c r="E12" t="inlineStr"/>
      <c r="F12" t="inlineStr"/>
      <c r="G12" t="inlineStr"/>
      <c r="H12" t="inlineStr"/>
      <c r="I12" s="15">
        <f>IF(OR($F12="",$G12=""),"",$F12*$G12/100*0.03)</f>
        <v/>
      </c>
      <c r="J12" s="15">
        <f>IF(OR($F12="",$G12=""),"",$F12*(1-$G12/100)*0.03)</f>
        <v/>
      </c>
      <c r="K12" t="inlineStr"/>
      <c r="L12" t="inlineStr"/>
    </row>
    <row r="13">
      <c r="A13" t="inlineStr">
        <is>
          <t>FB_NP04</t>
        </is>
      </c>
      <c r="B13" s="4" t="n">
        <v>46275.58333333334</v>
      </c>
      <c r="C13" t="inlineStr">
        <is>
          <t>F-B</t>
        </is>
      </c>
      <c r="D13" t="inlineStr"/>
      <c r="E13" t="inlineStr"/>
      <c r="F13" t="inlineStr"/>
      <c r="G13" t="inlineStr"/>
      <c r="H13" t="inlineStr"/>
      <c r="I13" s="15">
        <f>IF(OR($F13="",$G13=""),"",$F13*$G13/100*0.03)</f>
        <v/>
      </c>
      <c r="J13" s="15">
        <f>IF(OR($F13="",$G13=""),"",$F13*(1-$G13/100)*0.03)</f>
        <v/>
      </c>
      <c r="K13" t="inlineStr"/>
      <c r="L13" t="inlineStr"/>
    </row>
    <row r="14">
      <c r="A14" t="inlineStr">
        <is>
          <t>FA_NP24</t>
        </is>
      </c>
      <c r="B14" s="4" t="n">
        <v>46276.41666666666</v>
      </c>
      <c r="C14" t="inlineStr">
        <is>
          <t>F-A</t>
        </is>
      </c>
      <c r="D14" t="inlineStr"/>
      <c r="E14" t="inlineStr"/>
      <c r="F14" t="inlineStr"/>
      <c r="G14" t="inlineStr"/>
      <c r="H14" t="inlineStr"/>
      <c r="I14" s="15">
        <f>IF(OR($F14="",$G14=""),"",$F14*$G14/100*0.03)</f>
        <v/>
      </c>
      <c r="J14" s="15">
        <f>IF(OR($F14="",$G14=""),"",$F14*(1-$G14/100)*0.03)</f>
        <v/>
      </c>
      <c r="K14" t="inlineStr"/>
      <c r="L14" t="inlineStr"/>
    </row>
    <row r="15">
      <c r="A15" t="inlineStr">
        <is>
          <t>FB_NP24</t>
        </is>
      </c>
      <c r="B15" s="4" t="n">
        <v>46276.41666666666</v>
      </c>
      <c r="C15" t="inlineStr">
        <is>
          <t>F-B</t>
        </is>
      </c>
      <c r="D15" t="inlineStr"/>
      <c r="E15" t="inlineStr"/>
      <c r="F15" t="inlineStr"/>
      <c r="G15" t="inlineStr"/>
      <c r="H15" t="inlineStr"/>
      <c r="I15" s="15">
        <f>IF(OR($F15="",$G15=""),"",$F15*$G15/100*0.03)</f>
        <v/>
      </c>
      <c r="J15" s="15">
        <f>IF(OR($F15="",$G15=""),"",$F15*(1-$G15/100)*0.03)</f>
        <v/>
      </c>
      <c r="K15" t="inlineStr"/>
      <c r="L15" t="inlineStr"/>
    </row>
    <row r="16">
      <c r="A16" t="inlineStr">
        <is>
          <t>FA_FIN</t>
        </is>
      </c>
      <c r="B16" s="4" t="n">
        <v>46279.66666666666</v>
      </c>
      <c r="C16" t="inlineStr">
        <is>
          <t>F-A</t>
        </is>
      </c>
      <c r="D16" t="inlineStr"/>
      <c r="E16" t="inlineStr"/>
      <c r="F16" t="inlineStr"/>
      <c r="G16" t="inlineStr"/>
      <c r="H16" t="inlineStr"/>
      <c r="I16" s="15">
        <f>IF(OR($F16="",$G16=""),"",$F16*$G16/100*0.03)</f>
        <v/>
      </c>
      <c r="J16" s="15">
        <f>IF(OR($F16="",$G16=""),"",$F16*(1-$G16/100)*0.03)</f>
        <v/>
      </c>
      <c r="K16" t="inlineStr"/>
      <c r="L16" t="inlineStr"/>
    </row>
    <row r="17">
      <c r="A17" t="inlineStr">
        <is>
          <t>FB_FIN</t>
        </is>
      </c>
      <c r="B17" s="4" t="n">
        <v>46279.66666666666</v>
      </c>
      <c r="C17" t="inlineStr">
        <is>
          <t>F-B</t>
        </is>
      </c>
      <c r="D17" t="inlineStr"/>
      <c r="E17" t="inlineStr"/>
      <c r="F17" t="inlineStr"/>
      <c r="G17" t="inlineStr"/>
      <c r="H17" t="inlineStr"/>
      <c r="I17" s="15">
        <f>IF(OR($F17="",$G17=""),"",$F17*$G17/100*0.03)</f>
        <v/>
      </c>
      <c r="J17" s="15">
        <f>IF(OR($F17="",$G17=""),"",$F17*(1-$G17/100)*0.03)</f>
        <v/>
      </c>
      <c r="K17" t="inlineStr"/>
      <c r="L17" t="inlineStr"/>
    </row>
    <row r="19">
      <c r="A19" s="3" t="inlineStr">
        <is>
          <t>X_kg_m3 = Concentration × Viability/100 × 0.03 ; Xd_kg_m3 = Concentration × (1 − Viability/100) × 0.03. El factor 0.03 es la CONVENCIÓN HISTÓRICA del modelo (30 pg/célula; new_must_data_loader.py).</t>
        </is>
      </c>
    </row>
    <row r="20"/>
  </sheetData>
  <mergeCells count="1">
    <mergeCell ref="A19:L20"/>
  </mergeCells>
  <dataValidations count="1">
    <dataValidation sqref="K2:K17" showDropDown="0" showInputMessage="0" showErrorMessage="0" allowBlank="1" type="list">
      <formula1>"OK,revisar,repetir"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24" customWidth="1" min="4" max="4"/>
    <col width="9" customWidth="1" min="5" max="5"/>
    <col width="14" customWidth="1" min="6" max="6"/>
    <col width="9" customWidth="1" min="7" max="7"/>
    <col width="12" customWidth="1" min="8" max="8"/>
    <col width="12" customWidth="1" min="9" max="9"/>
    <col width="8" customWidth="1" min="10" max="10"/>
    <col width="30" customWidth="1" min="11" max="11"/>
  </cols>
  <sheetData>
    <row r="1" ht="30" customHeight="1">
      <c r="A1" s="6" t="inlineStr">
        <is>
          <t>Sample_ID</t>
        </is>
      </c>
      <c r="B1" s="6" t="inlineStr">
        <is>
          <t>Fermentador</t>
        </is>
      </c>
      <c r="C1" s="6" t="inlineStr">
        <is>
          <t>FechaHora</t>
        </is>
      </c>
      <c r="D1" s="6" t="inlineStr">
        <is>
          <t>Momento</t>
        </is>
      </c>
      <c r="E1" s="6" t="inlineStr">
        <is>
          <t>Volumen</t>
        </is>
      </c>
      <c r="F1" s="6" t="inlineStr">
        <is>
          <t>Almacenamiento</t>
        </is>
      </c>
      <c r="G1" s="6" t="inlineStr">
        <is>
          <t>Enviado</t>
        </is>
      </c>
      <c r="H1" s="6" t="inlineStr">
        <is>
          <t>Fecha_envio</t>
        </is>
      </c>
      <c r="I1" s="6" t="inlineStr">
        <is>
          <t>Resultado_E</t>
        </is>
      </c>
      <c r="J1" s="6" t="inlineStr">
        <is>
          <t>Unidad</t>
        </is>
      </c>
      <c r="K1" s="6" t="inlineStr">
        <is>
          <t>Observaciones</t>
        </is>
      </c>
    </row>
    <row r="2">
      <c r="A2" t="inlineStr">
        <is>
          <t>FA_PI</t>
        </is>
      </c>
      <c r="B2" t="inlineStr">
        <is>
          <t>F-A</t>
        </is>
      </c>
      <c r="C2" s="4" t="n">
        <v>46273.38194444445</v>
      </c>
      <c r="D2" t="inlineStr">
        <is>
          <t>PI (pre-inóculo)</t>
        </is>
      </c>
      <c r="E2" t="inlineStr"/>
      <c r="F2" t="inlineStr"/>
      <c r="G2" t="inlineStr"/>
      <c r="H2" t="inlineStr"/>
      <c r="I2" t="inlineStr"/>
      <c r="J2" t="inlineStr">
        <is>
          <t>% v/v</t>
        </is>
      </c>
      <c r="K2" t="inlineStr"/>
    </row>
    <row r="3">
      <c r="A3" t="inlineStr">
        <is>
          <t>FB_PI</t>
        </is>
      </c>
      <c r="B3" t="inlineStr">
        <is>
          <t>F-B</t>
        </is>
      </c>
      <c r="C3" s="4" t="n">
        <v>46273.38194444445</v>
      </c>
      <c r="D3" t="inlineStr">
        <is>
          <t>PI (pre-inóculo)</t>
        </is>
      </c>
      <c r="E3" t="inlineStr"/>
      <c r="F3" t="inlineStr"/>
      <c r="G3" t="inlineStr"/>
      <c r="H3" t="inlineStr"/>
      <c r="I3" t="inlineStr"/>
      <c r="J3" t="inlineStr">
        <is>
          <t>% v/v</t>
        </is>
      </c>
      <c r="K3" t="inlineStr"/>
    </row>
    <row r="4">
      <c r="A4" t="inlineStr">
        <is>
          <t>FA_PREN</t>
        </is>
      </c>
      <c r="B4" t="inlineStr">
        <is>
          <t>F-A</t>
        </is>
      </c>
      <c r="C4" s="4" t="n">
        <v>46275.38541666666</v>
      </c>
      <c r="D4" t="inlineStr">
        <is>
          <t>pre-nutrición</t>
        </is>
      </c>
      <c r="E4" t="inlineStr"/>
      <c r="F4" t="inlineStr"/>
      <c r="G4" t="inlineStr"/>
      <c r="H4" t="inlineStr"/>
      <c r="I4" t="inlineStr"/>
      <c r="J4" t="inlineStr">
        <is>
          <t>% v/v</t>
        </is>
      </c>
      <c r="K4" t="inlineStr"/>
    </row>
    <row r="5">
      <c r="A5" t="inlineStr">
        <is>
          <t>FB_PREN</t>
        </is>
      </c>
      <c r="B5" t="inlineStr">
        <is>
          <t>F-B</t>
        </is>
      </c>
      <c r="C5" s="4" t="n">
        <v>46275.38541666666</v>
      </c>
      <c r="D5" t="inlineStr">
        <is>
          <t>pre-nutrición</t>
        </is>
      </c>
      <c r="E5" t="inlineStr"/>
      <c r="F5" t="inlineStr"/>
      <c r="G5" t="inlineStr"/>
      <c r="H5" t="inlineStr"/>
      <c r="I5" t="inlineStr"/>
      <c r="J5" t="inlineStr">
        <is>
          <t>% v/v</t>
        </is>
      </c>
      <c r="K5" t="inlineStr"/>
    </row>
    <row r="6">
      <c r="A6" t="inlineStr">
        <is>
          <t>FA_NP06</t>
        </is>
      </c>
      <c r="B6" t="inlineStr">
        <is>
          <t>F-A</t>
        </is>
      </c>
      <c r="C6" s="4" t="n">
        <v>46275.66666666666</v>
      </c>
      <c r="D6" t="inlineStr">
        <is>
          <t>+6 h post-nutrición</t>
        </is>
      </c>
      <c r="E6" t="inlineStr"/>
      <c r="F6" t="inlineStr"/>
      <c r="G6" t="inlineStr"/>
      <c r="H6" t="inlineStr"/>
      <c r="I6" t="inlineStr"/>
      <c r="J6" t="inlineStr">
        <is>
          <t>% v/v</t>
        </is>
      </c>
      <c r="K6" t="inlineStr"/>
    </row>
    <row r="7">
      <c r="A7" t="inlineStr">
        <is>
          <t>FB_NP06</t>
        </is>
      </c>
      <c r="B7" t="inlineStr">
        <is>
          <t>F-B</t>
        </is>
      </c>
      <c r="C7" s="4" t="n">
        <v>46275.66666666666</v>
      </c>
      <c r="D7" t="inlineStr">
        <is>
          <t>+6 h post-nutrición</t>
        </is>
      </c>
      <c r="E7" t="inlineStr"/>
      <c r="F7" t="inlineStr"/>
      <c r="G7" t="inlineStr"/>
      <c r="H7" t="inlineStr"/>
      <c r="I7" t="inlineStr"/>
      <c r="J7" t="inlineStr">
        <is>
          <t>% v/v</t>
        </is>
      </c>
      <c r="K7" t="inlineStr"/>
    </row>
    <row r="8">
      <c r="A8" t="inlineStr">
        <is>
          <t>FA_FIN</t>
        </is>
      </c>
      <c r="B8" t="inlineStr">
        <is>
          <t>F-A</t>
        </is>
      </c>
      <c r="C8" s="4" t="n">
        <v>46279.66666666666</v>
      </c>
      <c r="D8" t="inlineStr">
        <is>
          <t>final ~150 h</t>
        </is>
      </c>
      <c r="E8" t="inlineStr"/>
      <c r="F8" t="inlineStr"/>
      <c r="G8" t="inlineStr"/>
      <c r="H8" t="inlineStr"/>
      <c r="I8" t="inlineStr"/>
      <c r="J8" t="inlineStr">
        <is>
          <t>% v/v</t>
        </is>
      </c>
      <c r="K8" t="inlineStr"/>
    </row>
    <row r="9">
      <c r="A9" t="inlineStr">
        <is>
          <t>FB_FIN</t>
        </is>
      </c>
      <c r="B9" t="inlineStr">
        <is>
          <t>F-B</t>
        </is>
      </c>
      <c r="C9" s="4" t="n">
        <v>46279.66666666666</v>
      </c>
      <c r="D9" t="inlineStr">
        <is>
          <t>final ~150 h</t>
        </is>
      </c>
      <c r="E9" t="inlineStr"/>
      <c r="F9" t="inlineStr"/>
      <c r="G9" t="inlineStr"/>
      <c r="H9" t="inlineStr"/>
      <c r="I9" t="inlineStr"/>
      <c r="J9" t="inlineStr">
        <is>
          <t>% v/v</t>
        </is>
      </c>
      <c r="K9" t="inlineStr"/>
    </row>
  </sheetData>
  <dataValidations count="1">
    <dataValidation sqref="G2:G9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2" customWidth="1" min="3" max="3"/>
    <col width="10" customWidth="1" min="4" max="4"/>
    <col width="40" customWidth="1" min="5" max="5"/>
  </cols>
  <sheetData>
    <row r="1" ht="30" customHeight="1">
      <c r="A1" s="6" t="inlineStr">
        <is>
          <t>Sección</t>
        </is>
      </c>
      <c r="B1" s="6" t="inlineStr">
        <is>
          <t>Ítem</t>
        </is>
      </c>
      <c r="C1" s="6" t="inlineStr">
        <is>
          <t>Estado</t>
        </is>
      </c>
      <c r="D1" s="6" t="inlineStr">
        <is>
          <t>Hora_real</t>
        </is>
      </c>
      <c r="E1" s="6" t="inlineStr">
        <is>
          <t>Observaciones</t>
        </is>
      </c>
    </row>
    <row r="2">
      <c r="A2" s="16" t="inlineStr">
        <is>
          <t>ANTES DE INOCULAR</t>
        </is>
      </c>
      <c r="B2" t="inlineStr">
        <is>
          <t>Sensores CO2 funcionando</t>
        </is>
      </c>
      <c r="C2" t="inlineStr">
        <is>
          <t>Pendiente</t>
        </is>
      </c>
      <c r="D2" t="inlineStr"/>
      <c r="E2" t="inlineStr"/>
    </row>
    <row r="3">
      <c r="A3" t="inlineStr">
        <is>
          <t>ANTES DE INOCULAR</t>
        </is>
      </c>
      <c r="B3" t="inlineStr">
        <is>
          <t>Temperatura registrada</t>
        </is>
      </c>
      <c r="C3" t="inlineStr">
        <is>
          <t>Pendiente</t>
        </is>
      </c>
      <c r="D3" t="inlineStr"/>
      <c r="E3" t="inlineStr"/>
    </row>
    <row r="4">
      <c r="A4" t="inlineStr">
        <is>
          <t>ANTES DE INOCULAR</t>
        </is>
      </c>
      <c r="B4" t="inlineStr">
        <is>
          <t>Reloj Raspberry/PC sincronizado</t>
        </is>
      </c>
      <c r="C4" t="inlineStr">
        <is>
          <t>Pendiente</t>
        </is>
      </c>
      <c r="D4" t="inlineStr"/>
      <c r="E4" t="inlineStr"/>
    </row>
    <row r="5">
      <c r="A5" t="inlineStr">
        <is>
          <t>ANTES DE INOCULAR</t>
        </is>
      </c>
      <c r="B5" t="inlineStr">
        <is>
          <t>Mosto homogeneizado</t>
        </is>
      </c>
      <c r="C5" t="inlineStr">
        <is>
          <t>Pendiente</t>
        </is>
      </c>
      <c r="D5" t="inlineStr"/>
      <c r="E5" t="inlineStr"/>
    </row>
    <row r="6">
      <c r="A6" t="inlineStr">
        <is>
          <t>ANTES DE INOCULAR</t>
        </is>
      </c>
      <c r="B6" t="inlineStr">
        <is>
          <t>Muestra PI tomada</t>
        </is>
      </c>
      <c r="C6" t="inlineStr">
        <is>
          <t>Pendiente</t>
        </is>
      </c>
      <c r="D6" t="inlineStr"/>
      <c r="E6" t="inlineStr"/>
    </row>
    <row r="7">
      <c r="A7" t="inlineStr">
        <is>
          <t>ANTES DE INOCULAR</t>
        </is>
      </c>
      <c r="B7" t="inlineStr">
        <is>
          <t>Fermentadores identificados (F-A / F-B)</t>
        </is>
      </c>
      <c r="C7" t="inlineStr">
        <is>
          <t>Pendiente</t>
        </is>
      </c>
      <c r="D7" t="inlineStr"/>
      <c r="E7" t="inlineStr"/>
    </row>
    <row r="8">
      <c r="A8" t="inlineStr">
        <is>
          <t>ANTES DE INOCULAR</t>
        </is>
      </c>
      <c r="B8" t="inlineStr">
        <is>
          <t>Tubos rotulados</t>
        </is>
      </c>
      <c r="C8" t="inlineStr">
        <is>
          <t>Pendiente</t>
        </is>
      </c>
      <c r="D8" t="inlineStr"/>
      <c r="E8" t="inlineStr"/>
    </row>
    <row r="9">
      <c r="A9" t="inlineStr">
        <is>
          <t>ANTES DE INOCULAR</t>
        </is>
      </c>
      <c r="B9" t="inlineStr">
        <is>
          <t>Oculyze preparado</t>
        </is>
      </c>
      <c r="C9" t="inlineStr">
        <is>
          <t>Pendiente</t>
        </is>
      </c>
      <c r="D9" t="inlineStr"/>
      <c r="E9" t="inlineStr"/>
    </row>
    <row r="10">
      <c r="A10" t="inlineStr">
        <is>
          <t>ANTES DE INOCULAR</t>
        </is>
      </c>
      <c r="B10" t="inlineStr">
        <is>
          <t>Y15 preparado</t>
        </is>
      </c>
      <c r="C10" t="inlineStr">
        <is>
          <t>Pendiente</t>
        </is>
      </c>
      <c r="D10" t="inlineStr"/>
      <c r="E10" t="inlineStr"/>
    </row>
    <row r="11">
      <c r="A11" t="inlineStr">
        <is>
          <t>ANTES DE INOCULAR</t>
        </is>
      </c>
      <c r="B11" t="inlineStr">
        <is>
          <t>Pesos/volúmenes iniciales registrados</t>
        </is>
      </c>
      <c r="C11" t="inlineStr">
        <is>
          <t>Pendiente</t>
        </is>
      </c>
      <c r="D11" t="inlineStr"/>
      <c r="E11" t="inlineStr"/>
    </row>
    <row r="12">
      <c r="A12" s="16" t="inlineStr">
        <is>
          <t>INOCULACIÓN</t>
        </is>
      </c>
      <c r="B12" t="inlineStr">
        <is>
          <t>Registrar hora de inicio F-A</t>
        </is>
      </c>
      <c r="C12" t="inlineStr">
        <is>
          <t>Pendiente</t>
        </is>
      </c>
      <c r="D12" t="inlineStr"/>
      <c r="E12" t="inlineStr"/>
    </row>
    <row r="13">
      <c r="A13" t="inlineStr">
        <is>
          <t>INOCULACIÓN</t>
        </is>
      </c>
      <c r="B13" t="inlineStr">
        <is>
          <t>Registrar hora de fin F-A</t>
        </is>
      </c>
      <c r="C13" t="inlineStr">
        <is>
          <t>Pendiente</t>
        </is>
      </c>
      <c r="D13" t="inlineStr"/>
      <c r="E13" t="inlineStr"/>
    </row>
    <row r="14">
      <c r="A14" t="inlineStr">
        <is>
          <t>INOCULACIÓN</t>
        </is>
      </c>
      <c r="B14" t="inlineStr">
        <is>
          <t>Registrar hora de inicio F-B</t>
        </is>
      </c>
      <c r="C14" t="inlineStr">
        <is>
          <t>Pendiente</t>
        </is>
      </c>
      <c r="D14" t="inlineStr"/>
      <c r="E14" t="inlineStr"/>
    </row>
    <row r="15">
      <c r="A15" t="inlineStr">
        <is>
          <t>INOCULACIÓN</t>
        </is>
      </c>
      <c r="B15" t="inlineStr">
        <is>
          <t>Registrar hora de fin F-B</t>
        </is>
      </c>
      <c r="C15" t="inlineStr">
        <is>
          <t>Pendiente</t>
        </is>
      </c>
      <c r="D15" t="inlineStr"/>
      <c r="E15" t="inlineStr"/>
    </row>
    <row r="16">
      <c r="A16" t="inlineStr">
        <is>
          <t>INOCULACIÓN</t>
        </is>
      </c>
      <c r="B16" t="inlineStr">
        <is>
          <t>Definir t0 = fin real de inoculación (METADATA)</t>
        </is>
      </c>
      <c r="C16" t="inlineStr">
        <is>
          <t>Pendiente</t>
        </is>
      </c>
      <c r="D16" t="inlineStr"/>
      <c r="E16" t="inlineStr"/>
    </row>
    <row r="17">
      <c r="A17" s="16" t="inlineStr">
        <is>
          <t>ANTES DE NUTRICIÓN</t>
        </is>
      </c>
      <c r="B17" t="inlineStr">
        <is>
          <t>Pesar SFX</t>
        </is>
      </c>
      <c r="C17" t="inlineStr">
        <is>
          <t>Pendiente</t>
        </is>
      </c>
      <c r="D17" t="inlineStr"/>
      <c r="E17" t="inlineStr"/>
    </row>
    <row r="18">
      <c r="A18" t="inlineStr">
        <is>
          <t>ANTES DE NUTRICIÓN</t>
        </is>
      </c>
      <c r="B18" t="inlineStr">
        <is>
          <t>Registrar lote SFX</t>
        </is>
      </c>
      <c r="C18" t="inlineStr">
        <is>
          <t>Pendiente</t>
        </is>
      </c>
      <c r="D18" t="inlineStr"/>
      <c r="E18" t="inlineStr"/>
    </row>
    <row r="19">
      <c r="A19" t="inlineStr">
        <is>
          <t>ANTES DE NUTRICIÓN</t>
        </is>
      </c>
      <c r="B19" t="inlineStr">
        <is>
          <t>Pesar FDA</t>
        </is>
      </c>
      <c r="C19" t="inlineStr">
        <is>
          <t>Pendiente</t>
        </is>
      </c>
      <c r="D19" t="inlineStr"/>
      <c r="E19" t="inlineStr"/>
    </row>
    <row r="20">
      <c r="A20" t="inlineStr">
        <is>
          <t>ANTES DE NUTRICIÓN</t>
        </is>
      </c>
      <c r="B20" t="inlineStr">
        <is>
          <t>Registrar lote FDA</t>
        </is>
      </c>
      <c r="C20" t="inlineStr">
        <is>
          <t>Pendiente</t>
        </is>
      </c>
      <c r="D20" t="inlineStr"/>
      <c r="E20" t="inlineStr"/>
    </row>
    <row r="21">
      <c r="A21" t="inlineStr">
        <is>
          <t>ANTES DE NUTRICIÓN</t>
        </is>
      </c>
      <c r="B21" t="inlineStr">
        <is>
          <t>Registrar volumen preparado</t>
        </is>
      </c>
      <c r="C21" t="inlineStr">
        <is>
          <t>Pendiente</t>
        </is>
      </c>
      <c r="D21" t="inlineStr"/>
      <c r="E21" t="inlineStr"/>
    </row>
    <row r="22">
      <c r="A22" t="inlineStr">
        <is>
          <t>ANTES DE NUTRICIÓN</t>
        </is>
      </c>
      <c r="B22" t="inlineStr">
        <is>
          <t>Tomar muestra pre-pulso</t>
        </is>
      </c>
      <c r="C22" t="inlineStr">
        <is>
          <t>Pendiente</t>
        </is>
      </c>
      <c r="D22" t="inlineStr"/>
      <c r="E22" t="inlineStr"/>
    </row>
    <row r="23">
      <c r="A23" t="inlineStr">
        <is>
          <t>ANTES DE NUTRICIÓN</t>
        </is>
      </c>
      <c r="B23" t="inlineStr">
        <is>
          <t>Registrar densidad real</t>
        </is>
      </c>
      <c r="C23" t="inlineStr">
        <is>
          <t>Pendiente</t>
        </is>
      </c>
      <c r="D23" t="inlineStr"/>
      <c r="E23" t="inlineStr"/>
    </row>
    <row r="24">
      <c r="A24" t="inlineStr">
        <is>
          <t>ANTES DE NUTRICIÓN</t>
        </is>
      </c>
      <c r="B24" t="inlineStr">
        <is>
          <t>Verificar hora (reloj)</t>
        </is>
      </c>
      <c r="C24" t="inlineStr">
        <is>
          <t>Pendiente</t>
        </is>
      </c>
      <c r="D24" t="inlineStr"/>
      <c r="E24" t="inlineStr"/>
    </row>
    <row r="25">
      <c r="A25" s="16" t="inlineStr">
        <is>
          <t>NUTRICIÓN</t>
        </is>
      </c>
      <c r="B25" t="inlineStr">
        <is>
          <t>Registrar hora de inicio</t>
        </is>
      </c>
      <c r="C25" t="inlineStr">
        <is>
          <t>Pendiente</t>
        </is>
      </c>
      <c r="D25" t="inlineStr"/>
      <c r="E25" t="inlineStr"/>
    </row>
    <row r="26">
      <c r="A26" t="inlineStr">
        <is>
          <t>NUTRICIÓN</t>
        </is>
      </c>
      <c r="B26" t="inlineStr">
        <is>
          <t>Registrar hora de fin</t>
        </is>
      </c>
      <c r="C26" t="inlineStr">
        <is>
          <t>Pendiente</t>
        </is>
      </c>
      <c r="D26" t="inlineStr"/>
      <c r="E26" t="inlineStr"/>
    </row>
    <row r="27">
      <c r="A27" t="inlineStr">
        <is>
          <t>NUTRICIÓN</t>
        </is>
      </c>
      <c r="B27" t="inlineStr">
        <is>
          <t>Registrar volumen administrado</t>
        </is>
      </c>
      <c r="C27" t="inlineStr">
        <is>
          <t>Pendiente</t>
        </is>
      </c>
      <c r="D27" t="inlineStr"/>
      <c r="E27" t="inlineStr"/>
    </row>
    <row r="28">
      <c r="A28" t="inlineStr">
        <is>
          <t>NUTRICIÓN</t>
        </is>
      </c>
      <c r="B28" t="inlineStr">
        <is>
          <t>Registrar residuo</t>
        </is>
      </c>
      <c r="C28" t="inlineStr">
        <is>
          <t>Pendiente</t>
        </is>
      </c>
      <c r="D28" t="inlineStr"/>
      <c r="E28" t="inlineStr"/>
    </row>
    <row r="29">
      <c r="A29" t="inlineStr">
        <is>
          <t>NUTRICIÓN</t>
        </is>
      </c>
      <c r="B29" t="inlineStr">
        <is>
          <t>Verificar señal nutricion_activa</t>
        </is>
      </c>
      <c r="C29" t="inlineStr">
        <is>
          <t>Pendiente</t>
        </is>
      </c>
      <c r="D29" t="inlineStr"/>
      <c r="E29" t="inlineStr"/>
    </row>
    <row r="30">
      <c r="A30" s="16" t="inlineStr">
        <is>
          <t>POST-NUTRICIÓN</t>
        </is>
      </c>
      <c r="B30" t="inlineStr">
        <is>
          <t>Muestra +2 h</t>
        </is>
      </c>
      <c r="C30" t="inlineStr">
        <is>
          <t>Pendiente</t>
        </is>
      </c>
      <c r="D30" t="inlineStr"/>
      <c r="E30" t="inlineStr"/>
    </row>
    <row r="31">
      <c r="A31" t="inlineStr">
        <is>
          <t>POST-NUTRICIÓN</t>
        </is>
      </c>
      <c r="B31" t="inlineStr">
        <is>
          <t>Muestra +4 h</t>
        </is>
      </c>
      <c r="C31" t="inlineStr">
        <is>
          <t>Pendiente</t>
        </is>
      </c>
      <c r="D31" t="inlineStr"/>
      <c r="E31" t="inlineStr"/>
    </row>
    <row r="32">
      <c r="A32" t="inlineStr">
        <is>
          <t>POST-NUTRICIÓN</t>
        </is>
      </c>
      <c r="B32" t="inlineStr">
        <is>
          <t>Muestra +6 h</t>
        </is>
      </c>
      <c r="C32" t="inlineStr">
        <is>
          <t>Pendiente</t>
        </is>
      </c>
      <c r="D32" t="inlineStr"/>
      <c r="E32" t="inlineStr"/>
    </row>
    <row r="33">
      <c r="A33" t="inlineStr">
        <is>
          <t>POST-NUTRICIÓN</t>
        </is>
      </c>
      <c r="B33" t="inlineStr">
        <is>
          <t>Muestra +24 h</t>
        </is>
      </c>
      <c r="C33" t="inlineStr">
        <is>
          <t>Pendiente</t>
        </is>
      </c>
      <c r="D33" t="inlineStr"/>
      <c r="E33" t="inlineStr"/>
    </row>
    <row r="34">
      <c r="A34" s="16" t="inlineStr">
        <is>
          <t>FINAL</t>
        </is>
      </c>
      <c r="B34" t="inlineStr">
        <is>
          <t>Muestras finales</t>
        </is>
      </c>
      <c r="C34" t="inlineStr">
        <is>
          <t>Pendiente</t>
        </is>
      </c>
      <c r="D34" t="inlineStr"/>
      <c r="E34" t="inlineStr"/>
    </row>
    <row r="35">
      <c r="A35" t="inlineStr">
        <is>
          <t>FINAL</t>
        </is>
      </c>
      <c r="B35" t="inlineStr">
        <is>
          <t>Alcolyzer (muestras estratégicas)</t>
        </is>
      </c>
      <c r="C35" t="inlineStr">
        <is>
          <t>Pendiente</t>
        </is>
      </c>
      <c r="D35" t="inlineStr"/>
      <c r="E35" t="inlineStr"/>
    </row>
    <row r="36">
      <c r="A36" t="inlineStr">
        <is>
          <t>FINAL</t>
        </is>
      </c>
      <c r="B36" t="inlineStr">
        <is>
          <t>Oculyze final</t>
        </is>
      </c>
      <c r="C36" t="inlineStr">
        <is>
          <t>Pendiente</t>
        </is>
      </c>
      <c r="D36" t="inlineStr"/>
      <c r="E36" t="inlineStr"/>
    </row>
    <row r="37">
      <c r="A37" t="inlineStr">
        <is>
          <t>FINAL</t>
        </is>
      </c>
      <c r="B37" t="inlineStr">
        <is>
          <t>Cerrar archivos</t>
        </is>
      </c>
      <c r="C37" t="inlineStr">
        <is>
          <t>Pendiente</t>
        </is>
      </c>
      <c r="D37" t="inlineStr"/>
      <c r="E37" t="inlineStr"/>
    </row>
    <row r="38">
      <c r="A38" t="inlineStr">
        <is>
          <t>FINAL</t>
        </is>
      </c>
      <c r="B38" t="inlineStr">
        <is>
          <t>Copiar datos Raspberry</t>
        </is>
      </c>
      <c r="C38" t="inlineStr">
        <is>
          <t>Pendiente</t>
        </is>
      </c>
      <c r="D38" t="inlineStr"/>
      <c r="E38" t="inlineStr"/>
    </row>
    <row r="39">
      <c r="A39" t="inlineStr">
        <is>
          <t>FINAL</t>
        </is>
      </c>
      <c r="B39" t="inlineStr">
        <is>
          <t>Verificar backups</t>
        </is>
      </c>
      <c r="C39" t="inlineStr">
        <is>
          <t>Pendiente</t>
        </is>
      </c>
      <c r="D39" t="inlineStr"/>
      <c r="E39" t="inlineStr"/>
    </row>
  </sheetData>
  <conditionalFormatting sqref="C2:C39">
    <cfRule type="cellIs" priority="1" operator="equal" dxfId="0">
      <formula>"Sí"</formula>
    </cfRule>
    <cfRule type="cellIs" priority="2" operator="equal" dxfId="1">
      <formula>"Pendiente"</formula>
    </cfRule>
  </conditionalFormatting>
  <dataValidations count="1">
    <dataValidation sqref="C2:C39" showDropDown="0" showInputMessage="0" showErrorMessage="0" allowBlank="1" type="list">
      <formula1>"Pendiente,Sí,No"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26" customWidth="1" min="3" max="3"/>
    <col width="22" customWidth="1" min="4" max="4"/>
    <col width="22" customWidth="1" min="5" max="5"/>
    <col width="44" customWidth="1" min="6" max="6"/>
  </cols>
  <sheetData>
    <row r="1" ht="30" customHeight="1">
      <c r="A1" s="6" t="inlineStr">
        <is>
          <t>momento_nominal</t>
        </is>
      </c>
      <c r="B1" s="6" t="inlineStr">
        <is>
          <t>fecha_hora</t>
        </is>
      </c>
      <c r="C1" s="6" t="inlineStr">
        <is>
          <t>motivo</t>
        </is>
      </c>
      <c r="D1" s="6" t="inlineStr">
        <is>
          <t>muestra_factible_anterior</t>
        </is>
      </c>
      <c r="E1" s="6" t="inlineStr">
        <is>
          <t>muestra_factible_siguiente</t>
        </is>
      </c>
      <c r="F1" s="6" t="inlineStr">
        <is>
          <t>informacion_que_se_pierde</t>
        </is>
      </c>
    </row>
    <row r="2">
      <c r="A2" s="17" t="inlineStr">
        <is>
          <t>+12 h post-t0</t>
        </is>
      </c>
      <c r="B2" s="18" t="n">
        <v>46273.91666666666</v>
      </c>
      <c r="C2" s="17" t="inlineStr">
        <is>
          <t>Fuera de jornada (noche)</t>
        </is>
      </c>
      <c r="D2" s="17" t="inlineStr">
        <is>
          <t>T0065 (mar 16:30)</t>
        </is>
      </c>
      <c r="E2" s="17" t="inlineStr">
        <is>
          <t>T0240 (mié 10:00)</t>
        </is>
      </c>
      <c r="F2" s="17" t="inlineStr">
        <is>
          <t>Forma del ascenso temprano entre 6.5 h y 24 h</t>
        </is>
      </c>
    </row>
    <row r="3">
      <c r="A3" s="17" t="inlineStr">
        <is>
          <t>tauN +12 h post-nutrición</t>
        </is>
      </c>
      <c r="B3" s="18" t="n">
        <v>46276.91666666666</v>
      </c>
      <c r="C3" s="17" t="inlineStr">
        <is>
          <t>Fuera de jornada (noche)</t>
        </is>
      </c>
      <c r="D3" s="17" t="inlineStr">
        <is>
          <t>NP24 (vie 10:00)</t>
        </is>
      </c>
      <c r="E3" s="17" t="inlineStr">
        <is>
          <t>COLA (lun 08:10)</t>
        </is>
      </c>
      <c r="F3" s="17" t="inlineStr">
        <is>
          <t>Dinámica tardía post-nutrición (tauN 12-94 h)</t>
        </is>
      </c>
    </row>
    <row r="4">
      <c r="A4" s="17" t="inlineStr">
        <is>
          <t>+96 h post-t0</t>
        </is>
      </c>
      <c r="B4" s="18" t="n">
        <v>46277.41666666666</v>
      </c>
      <c r="C4" s="17" t="inlineStr">
        <is>
          <t>Fin de semana (sábado)</t>
        </is>
      </c>
      <c r="D4" s="17" t="inlineStr">
        <is>
          <t>NP24 (vie 10:00)</t>
        </is>
      </c>
      <c r="E4" s="17" t="inlineStr">
        <is>
          <t>COLA (lun 08:10)</t>
        </is>
      </c>
      <c r="F4" s="17" t="inlineStr">
        <is>
          <t>Caída post-peak entre 72 h y 142 h</t>
        </is>
      </c>
    </row>
    <row r="5">
      <c r="A5" s="17" t="inlineStr">
        <is>
          <t>+120 h post-t0</t>
        </is>
      </c>
      <c r="B5" s="18" t="n">
        <v>46278.41666666666</v>
      </c>
      <c r="C5" s="17" t="inlineStr">
        <is>
          <t>Fin de semana (domingo)</t>
        </is>
      </c>
      <c r="D5" s="17" t="inlineStr">
        <is>
          <t>NP24 (vie 10:00)</t>
        </is>
      </c>
      <c r="E5" s="17" t="inlineStr">
        <is>
          <t>COLA (lun 08:10)</t>
        </is>
      </c>
      <c r="F5" s="17" t="inlineStr">
        <is>
          <t>Resolución de la desaceleración (96-142 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2026-09-08T13:16:39Z</dcterms:created>
  <dcterms:modified xsi:type="dcterms:W3CDTF">2026-09-08T13:16:39Z</dcterms:modified>
</cp:coreProperties>
</file>